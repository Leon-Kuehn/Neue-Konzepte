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jacob/data/dhbw/22_6-iot_logistikmodel/docs/"/>
    </mc:Choice>
  </mc:AlternateContent>
  <xr:revisionPtr revIDLastSave="0" documentId="13_ncr:1_{B17719E5-6CFB-9545-AE74-57131C0D3A55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Mapping raspi-02 Interface" sheetId="4" r:id="rId1"/>
    <sheet name="Sub37 Pins X3-X5" sheetId="3" r:id="rId2"/>
    <sheet name="Stecker X1" sheetId="2" r:id="rId3"/>
    <sheet name="Stecker X2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</calcChain>
</file>

<file path=xl/sharedStrings.xml><?xml version="1.0" encoding="utf-8"?>
<sst xmlns="http://schemas.openxmlformats.org/spreadsheetml/2006/main" count="507" uniqueCount="308">
  <si>
    <t>Stecker X1 Hochregallager Artikel-Nr. 220021
220021</t>
  </si>
  <si>
    <t>Stecker X2 Hochregallager Artikel-Nr. 220021
220021</t>
  </si>
  <si>
    <t>Pin</t>
  </si>
  <si>
    <t>Color</t>
  </si>
  <si>
    <t>Sensor/Actor</t>
  </si>
  <si>
    <t>Funktion</t>
  </si>
  <si>
    <t>1 WH 3S1 X-Achse bei Pos. 1 / X-axis at position 1</t>
  </si>
  <si>
    <t>2 GN 3S2 X-Achse bei Pos. 2 / X-axis at position 2</t>
  </si>
  <si>
    <t>3 YE 3S3 X-Achse bei Pos. 3 / X-axis at position 3</t>
  </si>
  <si>
    <t>4 GY 3S4 X-Achse bei Pos. 4 / X-axis at position 4</t>
  </si>
  <si>
    <t>5 PK 3S5 X-Achse bei Pos. 5 / X-axis at position 5</t>
  </si>
  <si>
    <t>6 VT 3S6 X-Achse bei Pos. 6 / X-axis at position 6</t>
  </si>
  <si>
    <t>7 GY-PK 3S7 X-Achse bei Pos. 7 / X-axis at position 7</t>
  </si>
  <si>
    <t>8 RD-BU 3S8 X-Achse bei Pos. 8 / X-axis at position 8</t>
  </si>
  <si>
    <t>9 WH-GN 4S1 X-Achse bei Pos. 9 / X-axis at position 9</t>
  </si>
  <si>
    <t>10 BN-GN 4S2 X-Achse bei Pos. 10 / X-axis at position 10</t>
  </si>
  <si>
    <t>11 WH-YE 4S3 Y-Achse bei Pos. Y- / Y-axis at position Y12</t>
  </si>
  <si>
    <t>YE-BN 11K1 Y-Achse Pos. mitte / Y-axis in the middle</t>
  </si>
  <si>
    <t>13 WH-GY 4S5 Y-Achse bei Pos. Y+ / Y-axis at position Y+</t>
  </si>
  <si>
    <t>14 GY-BN 4S6 Z-Achse über Pos. 1 / Z-axis above position 1 (Z+)</t>
  </si>
  <si>
    <t>15 WH-PK 4S7 Z-Achse unter Pos. 1 / Z-axis below position 1</t>
  </si>
  <si>
    <t>16 PK-BN 4S8 Z-Achse über Pos. 2 / Z-axis above position 2</t>
  </si>
  <si>
    <t>17 WH-BU Res./spare Reserve / spare</t>
  </si>
  <si>
    <t>18 Versorgungsspannung 0V / power supply 0V</t>
  </si>
  <si>
    <t>19 BK X- Versorgungsspannung 0V / power supply 0V</t>
  </si>
  <si>
    <t>20 BN-BU 5S1 Z-Achse unter Pos. 2 / Z-axis below position 2</t>
  </si>
  <si>
    <t>21 WH-RD 5S2 Z-Achse über Pos. 3 / Z-axis above position 3</t>
  </si>
  <si>
    <t>22 BN-RD 5S3 Z-Achse unter Pos. 3 / Z-axis below position 3</t>
  </si>
  <si>
    <t>23 WH-BK 5S4 Z-Achse über Pos. 4 / Z-axis above position 4</t>
  </si>
  <si>
    <t>24 BN-BK 5S5 Z-Achse unter Pos. 4 / Z-axis below position 4</t>
  </si>
  <si>
    <t>25 GY-GN 5S6 Z-Achse über Pos. 5 / Z-axis above position 5</t>
  </si>
  <si>
    <t>26 YE-GY 5S7 Z-Achse unter Pos. 5 / Z-axis below position 5 (Z-)</t>
  </si>
  <si>
    <t>27 PK-GN 5S8 Regalbediengerät belegt / rack feeder engaged</t>
  </si>
  <si>
    <t>28 YE-PK 6S1 E/A Station 1 / I/O station 1</t>
  </si>
  <si>
    <t>29 GN-BU 6S2 E/A Station 2 / I/O station 2</t>
  </si>
  <si>
    <t>30 YE-BU Res./spare Reserve / spare</t>
  </si>
  <si>
    <t>31 GN-RD Res./spare Reserve / spare</t>
  </si>
  <si>
    <t>32 YE-RD Res./spare Reserve / spare</t>
  </si>
  <si>
    <t>33 GN-BK Res./spare Reserve / spare</t>
  </si>
  <si>
    <t>34 YE-BK Res./spare Reserve / spare</t>
  </si>
  <si>
    <t>35 GY-BU Res./spare Reserve / spare</t>
  </si>
  <si>
    <t>36 RD 2F1 Versorgungsspannung Motoren / power supply motors</t>
  </si>
  <si>
    <t>37 BN 2F2 Versorgungsspannung Sensoren / power supply sensors</t>
  </si>
  <si>
    <t>WH</t>
  </si>
  <si>
    <t>GN</t>
  </si>
  <si>
    <t>YE</t>
  </si>
  <si>
    <t>GY</t>
  </si>
  <si>
    <t>PK</t>
  </si>
  <si>
    <t>VT</t>
  </si>
  <si>
    <t>RD</t>
  </si>
  <si>
    <t>BN</t>
  </si>
  <si>
    <t>BK</t>
  </si>
  <si>
    <t>GY-PK</t>
  </si>
  <si>
    <t>RD-BU</t>
  </si>
  <si>
    <t>WH-GN</t>
  </si>
  <si>
    <t>BN-GN</t>
  </si>
  <si>
    <t>WH-PK</t>
  </si>
  <si>
    <t>PK-BN</t>
  </si>
  <si>
    <t>WH-BU</t>
  </si>
  <si>
    <t>BN-BU</t>
  </si>
  <si>
    <t>WH-RD</t>
  </si>
  <si>
    <t>BN-RD</t>
  </si>
  <si>
    <t>WH-BK</t>
  </si>
  <si>
    <t>BN-BK</t>
  </si>
  <si>
    <t>GY-GN</t>
  </si>
  <si>
    <t>YE-BU</t>
  </si>
  <si>
    <t>GN-RD</t>
  </si>
  <si>
    <t>YE-RD</t>
  </si>
  <si>
    <t>GN-BK</t>
  </si>
  <si>
    <t>YE-BK</t>
  </si>
  <si>
    <t>GY-BU</t>
  </si>
  <si>
    <t>3S1</t>
  </si>
  <si>
    <t>3S2</t>
  </si>
  <si>
    <t>3S3</t>
  </si>
  <si>
    <t>3S4</t>
  </si>
  <si>
    <t>3S5</t>
  </si>
  <si>
    <t>3S6</t>
  </si>
  <si>
    <t>11K1</t>
  </si>
  <si>
    <t>2F1</t>
  </si>
  <si>
    <t>2F2</t>
  </si>
  <si>
    <t xml:space="preserve">X-Achse bei Pos. 1 </t>
  </si>
  <si>
    <t>X-Achse bei Pos. 2</t>
  </si>
  <si>
    <t>X-Achse bei Pos. 3</t>
  </si>
  <si>
    <t>X-Achse bei Pos. 4</t>
  </si>
  <si>
    <t>X-Achse bei Pos. 5</t>
  </si>
  <si>
    <t>X-Achse bei Pos. 6</t>
  </si>
  <si>
    <t>Versorgungsspannung 0V</t>
  </si>
  <si>
    <t>Versorgungsspannung Motoren</t>
  </si>
  <si>
    <t>Versorgungsspannung Sensoren</t>
  </si>
  <si>
    <t>X-Achse bei Pos. 7</t>
  </si>
  <si>
    <t>X-Achse bei Pos. 8</t>
  </si>
  <si>
    <t>X-Achse bei Pos. 9</t>
  </si>
  <si>
    <t>X-Achse bei Pos. 10</t>
  </si>
  <si>
    <t>Z-Achse unter Pos. 1</t>
  </si>
  <si>
    <t>Z-Achse über Pos. 2</t>
  </si>
  <si>
    <t>Z-Achse unter Pos. 2</t>
  </si>
  <si>
    <t>Z-Achse über Pos. 3</t>
  </si>
  <si>
    <t>Z-Achse unter Pos. 3</t>
  </si>
  <si>
    <t>Z-Achse über Pos. 4</t>
  </si>
  <si>
    <t>Z-Achse unter Pos. 4</t>
  </si>
  <si>
    <t>Z-Achse über Pos. 5</t>
  </si>
  <si>
    <t>Y-Achse Pos. mitte</t>
  </si>
  <si>
    <t>Y-Achse bei Pos. Y+</t>
  </si>
  <si>
    <t xml:space="preserve">Z-Achse über Pos. 1 </t>
  </si>
  <si>
    <t>Z-Achse unter Pos. 5</t>
  </si>
  <si>
    <t>Regalbediengerät belegt</t>
  </si>
  <si>
    <t>E/A Station 1</t>
  </si>
  <si>
    <t>E/A Station 2</t>
  </si>
  <si>
    <t>Reserve</t>
  </si>
  <si>
    <t>3S7</t>
  </si>
  <si>
    <t>3S8</t>
  </si>
  <si>
    <t>4S1</t>
  </si>
  <si>
    <t>4S2</t>
  </si>
  <si>
    <t>4S3</t>
  </si>
  <si>
    <t>4S5</t>
  </si>
  <si>
    <t>4S6</t>
  </si>
  <si>
    <t>4S7</t>
  </si>
  <si>
    <t>4S8</t>
  </si>
  <si>
    <t>Res.</t>
  </si>
  <si>
    <t>X-</t>
  </si>
  <si>
    <t>5S1</t>
  </si>
  <si>
    <t>5S2</t>
  </si>
  <si>
    <t>5S3</t>
  </si>
  <si>
    <t>5S4</t>
  </si>
  <si>
    <t>5S5</t>
  </si>
  <si>
    <t>5S6</t>
  </si>
  <si>
    <t>5S7</t>
  </si>
  <si>
    <t>5S8</t>
  </si>
  <si>
    <t>6S1</t>
  </si>
  <si>
    <t>6S2</t>
  </si>
  <si>
    <t>1 WH 7S1 X-Achse nach X+ / X-axis to X+</t>
  </si>
  <si>
    <t>2 GN 7S2 X-Achse nach X- / X-axis to X3</t>
  </si>
  <si>
    <t>4 GY 12A1 Y-Achse nach Y- / Y-axis to Y5</t>
  </si>
  <si>
    <t>6 VT 12A1 Z-Achse nach Z+ / EZ-axis to Z+</t>
  </si>
  <si>
    <t>7 GY-PK 12A1 Z-Achse nach Z- / Z-axis to Z8</t>
  </si>
  <si>
    <t>9 WH-GN 12A2 E/A-Station 1 einlagern / I/O-station 1 place into stock</t>
  </si>
  <si>
    <t>10 BN-GN 12A2 E/A-Station 2 auslagern / I/O-station 2 release from stock</t>
  </si>
  <si>
    <t>11 WH-YE 12A2 E/A-Station 2 einlagern / I/O-station 2 place into stock</t>
  </si>
  <si>
    <t>12 YE-BN Res./spare Reserve / spare</t>
  </si>
  <si>
    <t>13 WH-GY Res./spare Reserve / spare</t>
  </si>
  <si>
    <t>14 GY-BN Res./spare Reserve / spare</t>
  </si>
  <si>
    <t>15 WH-PK Res./spare Reserve / spare</t>
  </si>
  <si>
    <t>16 PK-BN Res./spare Reserve / spare</t>
  </si>
  <si>
    <t>20 BN-BU Res./spare Reserve / spare</t>
  </si>
  <si>
    <t>21 WH-RD Res./spare Reserve / spare</t>
  </si>
  <si>
    <t>22 BN-RD Res./spare Reserve / spare</t>
  </si>
  <si>
    <t>23 WH-BK Res./spare Reserve / spare</t>
  </si>
  <si>
    <t>24 BN-BK Res./spare Reserve / spare</t>
  </si>
  <si>
    <t>25 GY-GN Res./spare Reserve / spare</t>
  </si>
  <si>
    <t>26 YE-GY Res./spare Reserve / spare</t>
  </si>
  <si>
    <t>27 PK-GN Res./spare Reserve / spare</t>
  </si>
  <si>
    <t>28 YE-PK Res./spare Reserve / spare</t>
  </si>
  <si>
    <t>29 GN-BU Res./spare Reserve / spare</t>
  </si>
  <si>
    <t>3 YE 11K2 X-Achse langsam / a-Axis slow</t>
  </si>
  <si>
    <t>5 PK 12A1 Y-Achse nach Y+ / Y-axis to Y+</t>
  </si>
  <si>
    <t>8 RD-BU 12A2 E/A-Station 1 auslagern / I/O-station 1 release from stock</t>
  </si>
  <si>
    <t>WH-YE</t>
  </si>
  <si>
    <t>YE-BN</t>
  </si>
  <si>
    <t>WH-GY</t>
  </si>
  <si>
    <t>GY-BN</t>
  </si>
  <si>
    <t>YE-GY</t>
  </si>
  <si>
    <t>PK-GN</t>
  </si>
  <si>
    <t>YE-PK</t>
  </si>
  <si>
    <t>GN-BU</t>
  </si>
  <si>
    <t>7S1</t>
  </si>
  <si>
    <t>7S2</t>
  </si>
  <si>
    <t>11K2</t>
  </si>
  <si>
    <t>12A1</t>
  </si>
  <si>
    <t>12A2</t>
  </si>
  <si>
    <t xml:space="preserve">Achse nach X+ </t>
  </si>
  <si>
    <t>X-Achse nach X-</t>
  </si>
  <si>
    <t>X-Achse langsam</t>
  </si>
  <si>
    <t xml:space="preserve">Y-Achse nach Y- </t>
  </si>
  <si>
    <t>Y-Achse nach Y+</t>
  </si>
  <si>
    <t>Z-Achse nach Z+</t>
  </si>
  <si>
    <t>Z-Achse nach Z-</t>
  </si>
  <si>
    <t>E/A-Station 1 einlagern</t>
  </si>
  <si>
    <t>E/A-Station 2 auslagern</t>
  </si>
  <si>
    <t>E/A-Station 2 einlagern</t>
  </si>
  <si>
    <t xml:space="preserve">E/A-Station 1 auslagern </t>
  </si>
  <si>
    <t xml:space="preserve">Versorgungsspannung Motoren </t>
  </si>
  <si>
    <t xml:space="preserve">WH-YE </t>
  </si>
  <si>
    <t xml:space="preserve">GY-BN </t>
  </si>
  <si>
    <t xml:space="preserve">RD </t>
  </si>
  <si>
    <t>Anzahl benötigter Ausgänge</t>
  </si>
  <si>
    <t>Anzahl benötigter Eingänge</t>
  </si>
  <si>
    <t xml:space="preserve">Y-Achse bei Pos. Y- </t>
  </si>
  <si>
    <t>OUTPUT</t>
  </si>
  <si>
    <t>00</t>
  </si>
  <si>
    <t>01</t>
  </si>
  <si>
    <t>02</t>
  </si>
  <si>
    <t>03</t>
  </si>
  <si>
    <t>04</t>
  </si>
  <si>
    <t>05</t>
  </si>
  <si>
    <t>07</t>
  </si>
  <si>
    <t>06</t>
  </si>
  <si>
    <t>10</t>
  </si>
  <si>
    <t>11</t>
  </si>
  <si>
    <t>12</t>
  </si>
  <si>
    <t>INPUT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</si>
  <si>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</si>
  <si>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</si>
  <si>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</si>
  <si>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</si>
  <si>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</si>
  <si>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</si>
  <si>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</si>
  <si>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</si>
  <si>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</si>
  <si>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</si>
  <si>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</si>
  <si>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</si>
  <si>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</si>
  <si>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</si>
  <si>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</si>
  <si>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-</t>
  </si>
  <si>
    <t>?</t>
  </si>
  <si>
    <t>? (gefunkt)</t>
  </si>
  <si>
    <t>x6</t>
  </si>
  <si>
    <t>x5</t>
  </si>
  <si>
    <t>x4</t>
  </si>
  <si>
    <t>x3</t>
  </si>
  <si>
    <t>- (Ausschub 1 rein ?)</t>
  </si>
  <si>
    <t>Masse</t>
  </si>
  <si>
    <t>Spannung Motor</t>
  </si>
  <si>
    <t>Kompressor ?</t>
  </si>
  <si>
    <t>[A] Förderband Ausgang lang</t>
  </si>
  <si>
    <t>[A] Förderband Ausgang kurz (unter Umsetzer)</t>
  </si>
  <si>
    <t>[A] Ausschub 1 raus ?</t>
  </si>
  <si>
    <t>[A] Förderband Ausgang Mittel</t>
  </si>
  <si>
    <t>[A] Ausschub 2 rein</t>
  </si>
  <si>
    <t>[A] Förderband Eingang kurz (unter Sensor)</t>
  </si>
  <si>
    <t>[A] Ausschub 2 raus</t>
  </si>
  <si>
    <t>[A] Förderband Eingang Mittel (unter Umsetzer)</t>
  </si>
  <si>
    <t>[A] Pneumatik Verpacken</t>
  </si>
  <si>
    <t>[A] Förderband Eingang lang</t>
  </si>
  <si>
    <t>[A] Pneumatik Mitte zu Drehtisch</t>
  </si>
  <si>
    <t>[A] Förderband Mitte kurz (unter Umsetzer)</t>
  </si>
  <si>
    <t>[A] Display Aufbau 1 Stopp-Pin</t>
  </si>
  <si>
    <t>[A] Förderband Mitte Lang</t>
  </si>
  <si>
    <t xml:space="preserve">[A] Display Aufbau 1 Stopp-Pin </t>
  </si>
  <si>
    <t>[A] Förderband Mitte zu Eingang</t>
  </si>
  <si>
    <t>[A] Display Aufbau 2 Stopp-Pin</t>
  </si>
  <si>
    <t>[A] Förderband Mitte zu Ausgang</t>
  </si>
  <si>
    <t>[A] Drehtisch Ausgang Rotation</t>
  </si>
  <si>
    <t>[A] Display Aufbau 3 Stopp-Pin</t>
  </si>
  <si>
    <t>[A] Drehtisch Ausgang Förderband</t>
  </si>
  <si>
    <t>[A] Verpacken Stopp-Pin</t>
  </si>
  <si>
    <t>[A] Drehtisch Mitte Rotation</t>
  </si>
  <si>
    <t>[A] Auszeichnen Turm vorwärts</t>
  </si>
  <si>
    <t>[A] Auszeichnen Turm rückwärts</t>
  </si>
  <si>
    <t xml:space="preserve">[A] Drehtisch Mitte </t>
  </si>
  <si>
    <t>[A] Auszeichnen Turm runter</t>
  </si>
  <si>
    <t>[A] Drehtisch Eingang Rotation</t>
  </si>
  <si>
    <t>[A] Auszeichnen Achse</t>
  </si>
  <si>
    <t>[A] Lampe Display Aufbau 1</t>
  </si>
  <si>
    <t>[A] Drehtisch Eingang Förderband</t>
  </si>
  <si>
    <t>[A] Lampe Display Aufbau 2</t>
  </si>
  <si>
    <t>[A] Lampe Display Aufbau 3</t>
  </si>
  <si>
    <t>[A] Waren Eingang Förderband</t>
  </si>
  <si>
    <t>[A] Lampe Verpacken</t>
  </si>
  <si>
    <t>[A] Umsetzer nach Eingang</t>
  </si>
  <si>
    <t>[A] Umsetzer nach Ausgang</t>
  </si>
  <si>
    <t xml:space="preserve">[A] Umsetzer hoch </t>
  </si>
  <si>
    <t>[A] Umsetzer runter</t>
  </si>
  <si>
    <t>[A] usetzer Pneumatik</t>
  </si>
  <si>
    <t>Pin2</t>
  </si>
  <si>
    <t>[S] Drehtisch Eingang Rotation Waagrecht</t>
  </si>
  <si>
    <t>[S] Drehtisch Eingang Rotation Senkrecht</t>
  </si>
  <si>
    <t>[S] Waren Eingang Lichtschranke</t>
  </si>
  <si>
    <t>[A] Drehtisch Eingang Förderband vorwärts</t>
  </si>
  <si>
    <t>[A] Drehtisch Eingang Förderband rückwärts</t>
  </si>
  <si>
    <t>port</t>
  </si>
  <si>
    <t>[A] Drehtisch Eingang Rotation clockwise</t>
  </si>
  <si>
    <t>[A] Drehtisch Eingang Rotation counter clockwise</t>
  </si>
  <si>
    <t>[A] Drehtisch Ausgang Förderband rückwärts</t>
  </si>
  <si>
    <t>[A] Drehtisch Ausgang Förderband vorwärts</t>
  </si>
  <si>
    <t>[A] Drehtisch Ausgang Rotation counter clocwise</t>
  </si>
  <si>
    <t>[A] Drehtisch Ausgang Rotation clocwise</t>
  </si>
  <si>
    <t>Näherung drehtisch mitte</t>
  </si>
  <si>
    <t>näherung drehtisch ausgang</t>
  </si>
  <si>
    <t>förderband ausngang lang anfang</t>
  </si>
  <si>
    <t xml:space="preserve">förband ausgang unter hebe tisch </t>
  </si>
  <si>
    <t>förderband ausngang lang ende (unter verpackung)</t>
  </si>
  <si>
    <t xml:space="preserve">förband eingang unter hebe tisch </t>
  </si>
  <si>
    <t>föband eingang lang display 1</t>
  </si>
  <si>
    <t>föband eingang lang display 2</t>
  </si>
  <si>
    <t>föband eingang lang display 3</t>
  </si>
  <si>
    <t>föband mitte kurz unter hebe tisch</t>
  </si>
  <si>
    <t>föband mitte lang ende</t>
  </si>
  <si>
    <t xml:space="preserve">föband mitte zu eingang drehtisch </t>
  </si>
  <si>
    <t xml:space="preserve">föband mitte zu eingang pneumatik </t>
  </si>
  <si>
    <t>föband mitte zu ausgang</t>
  </si>
  <si>
    <t>x</t>
  </si>
  <si>
    <t xml:space="preserve">Förderband ausgang unter hebe tisch </t>
  </si>
  <si>
    <t>Förderband Ausgang lang anfang</t>
  </si>
  <si>
    <t>Förderband Ausgang lang ende (unter verpackung)</t>
  </si>
  <si>
    <t xml:space="preserve">Förderband Eingang unter hebe tisch </t>
  </si>
  <si>
    <t>Förderband Eingang lang display 1</t>
  </si>
  <si>
    <t>Förderband Eingang lang display 2</t>
  </si>
  <si>
    <t>Förderband Eingang lang display 3</t>
  </si>
  <si>
    <t>Näherung Drehtisch Ausgang</t>
  </si>
  <si>
    <t>Näherung Drehtisch Mitte</t>
  </si>
  <si>
    <t>Turm Kette</t>
  </si>
  <si>
    <t>pin2</t>
  </si>
  <si>
    <t>Spannung Sensoren</t>
  </si>
  <si>
    <t>Aktoren</t>
  </si>
  <si>
    <t>Sensoren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</si>
</sst>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2" applyNumberFormat="0" applyFill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2" xfId="2"/>
    <xf numFmtId="0" fontId="2" fillId="0" borderId="2" xfId="2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9" fontId="2" fillId="0" borderId="2" xfId="2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0" fillId="0" borderId="0" xfId="0" quotePrefix="1"/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2" borderId="3" xfId="0" applyFill="1" applyBorder="1"/>
    <xf numFmtId="0" fontId="6" fillId="2" borderId="0" xfId="0" applyFont="1" applyFill="1"/>
    <xf numFmtId="0" fontId="6" fillId="2" borderId="3" xfId="0" applyFont="1" applyFill="1" applyBorder="1"/>
    <xf numFmtId="0" fontId="3" fillId="0" borderId="4" xfId="0" applyFont="1" applyBorder="1"/>
    <xf numFmtId="0" fontId="8" fillId="0" borderId="4" xfId="0" applyFont="1" applyBorder="1"/>
    <xf numFmtId="0" fontId="6" fillId="0" borderId="3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1" xfId="1" applyBorder="1" applyAlignment="1">
      <alignment horizontal="left" wrapText="1"/>
    </xf>
  </cellXfs>
  <cellStyles count="3">
    <cellStyle name="Standard" xfId="0" builtinId="0"/>
    <cellStyle name="Überschrift" xfId="1" builtinId="15"/>
    <cellStyle name="Überschrift 3" xfId="2" builtinId="18"/>
  </cellStyles>
  <dxfs count="12">
    <dxf>
      <font>
        <i/>
      </font>
      <numFmt numFmtId="0" formatCode="General"/>
    </dxf>
    <dxf>
      <font>
        <i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365760</xdr:colOff>
      <xdr:row>3</xdr:row>
      <xdr:rowOff>48260</xdr:rowOff>
    </xdr:from>
    <xdr:to>
      <xdr:col>16</xdr:col>
      <xdr:colOff>497840</xdr:colOff>
      <xdr:row>10</xdr:row>
      <xdr:rowOff>35560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2D83788-7E53-DC1E-87D8-24DE73470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5739110" y="-826770"/>
          <a:ext cx="1338580" cy="42468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DAA7FB-8F85-DF4A-8531-9ED8355214A0}" name="Tabelle3" displayName="Tabelle3" ref="B3:E40" totalsRowShown="0" dataDxfId="11">
  <autoFilter ref="B3:E40" xr:uid="{3BDAA7FB-8F85-DF4A-8531-9ED8355214A0}">
    <filterColumn colId="0" hiddenButton="1"/>
    <filterColumn colId="1" hiddenButton="1"/>
    <filterColumn colId="2" hiddenButton="1"/>
    <filterColumn colId="3" hiddenButton="1"/>
  </autoFilter>
  <tableColumns count="4">
    <tableColumn id="1" xr3:uid="{26AC7116-EBC6-3B41-B06D-55CF26FE6AAF}" name="Pin" dataDxfId="10"/>
    <tableColumn id="2" xr3:uid="{327C4746-E0B6-F744-B29A-7ABDE32381FE}" name="x5" dataDxfId="9"/>
    <tableColumn id="3" xr3:uid="{7DE0E3DC-BABF-364B-B179-6A2E630D12BC}" name="port" dataDxfId="8"/>
    <tableColumn id="4" xr3:uid="{061AF2D5-C4F2-4D49-9983-CDE69D374C2E}" name="pin2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649A68-5BB6-684C-8BD6-1E1E3F14AE38}" name="Tabelle4" displayName="Tabelle4" ref="H3:K40" totalsRowShown="0" dataDxfId="6">
  <autoFilter ref="H3:K40" xr:uid="{0C649A68-5BB6-684C-8BD6-1E1E3F14AE38}">
    <filterColumn colId="0" hiddenButton="1"/>
    <filterColumn colId="1" hiddenButton="1"/>
    <filterColumn colId="2" hiddenButton="1"/>
    <filterColumn colId="3" hiddenButton="1"/>
  </autoFilter>
  <tableColumns count="4">
    <tableColumn id="1" xr3:uid="{0D7EB966-8D59-0940-B098-441441770F92}" name="Pin" dataDxfId="5"/>
    <tableColumn id="2" xr3:uid="{46B4DA70-A80C-F244-B905-EC2F9E7C1A87}" name="x3" dataDxfId="4"/>
    <tableColumn id="3" xr3:uid="{F32A90F5-505B-7147-98FB-A8AC45D15465}" name="port" dataDxfId="3"/>
    <tableColumn id="4" xr3:uid="{44811E64-BC27-AC4A-BB40-77435A7C1540}" name="pin2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5B959-3131-1544-9CBA-D27CD76EA7E8}" name="Tabelle1" displayName="Tabelle1" ref="B3:G40" totalsRowShown="0">
  <autoFilter ref="B3:G40" xr:uid="{B8F08BDC-6D0C-3A4C-96D2-ECEB7B5958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D14229-5F75-C94C-899F-12728F158F1E}" name="Pin" dataDxfId="1"/>
    <tableColumn id="2" xr3:uid="{2289966D-7612-C34B-9890-2ADD9E260EAC}" name="x3"/>
    <tableColumn id="3" xr3:uid="{510A7FC1-C3CB-1549-8954-D605D55AF6C6}" name="x4"/>
    <tableColumn id="4" xr3:uid="{6C210A89-B03F-1341-AD1D-4EB895B78EEA}" name="x5"/>
    <tableColumn id="5" xr3:uid="{ACDAE653-3269-4E4F-BB85-581A364E863C}" name="x6"/>
    <tableColumn id="6" xr3:uid="{12F1E34C-C6B5-7B46-B510-BDA568C0EAE3}" name="Pin2" dataDxfId="0">
      <calculatedColumnFormula>Tabelle1[[#This Row],[Pin]]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1313-E949-B548-B716-7DAC84D8B3B4}">
  <dimension ref="B1:K40"/>
  <sheetViews>
    <sheetView tabSelected="1" workbookViewId="0">
      <selection activeCell="G16" sqref="G16"/>
    </sheetView>
  </sheetViews>
  <sheetFormatPr baseColWidth="10" defaultRowHeight="15" x14ac:dyDescent="0.2"/>
  <cols>
    <col min="2" max="2" width="4.33203125" bestFit="1" customWidth="1"/>
    <col min="3" max="3" width="37.6640625" bestFit="1" customWidth="1"/>
    <col min="4" max="4" width="6.83203125" customWidth="1"/>
    <col min="5" max="5" width="7" customWidth="1"/>
    <col min="8" max="8" width="4.33203125" bestFit="1" customWidth="1"/>
    <col min="9" max="9" width="37.6640625" customWidth="1"/>
    <col min="10" max="10" width="4.5" bestFit="1" customWidth="1"/>
    <col min="11" max="11" width="4.6640625" bestFit="1" customWidth="1"/>
  </cols>
  <sheetData>
    <row r="1" spans="2:11" ht="29" x14ac:dyDescent="0.35">
      <c r="B1" s="24" t="s">
        <v>306</v>
      </c>
      <c r="C1" s="24"/>
      <c r="D1" s="24"/>
      <c r="E1" s="24"/>
      <c r="F1" s="24"/>
      <c r="G1" s="24"/>
      <c r="H1" s="24" t="s">
        <v>307</v>
      </c>
      <c r="I1" s="24"/>
    </row>
    <row r="3" spans="2:11" x14ac:dyDescent="0.2">
      <c r="B3" s="20" t="s">
        <v>2</v>
      </c>
      <c r="C3" s="19" t="s">
        <v>219</v>
      </c>
      <c r="D3" t="s">
        <v>272</v>
      </c>
      <c r="E3" t="s">
        <v>304</v>
      </c>
      <c r="H3" s="20" t="s">
        <v>2</v>
      </c>
      <c r="I3" s="19" t="s">
        <v>221</v>
      </c>
      <c r="J3" t="s">
        <v>272</v>
      </c>
      <c r="K3" t="s">
        <v>304</v>
      </c>
    </row>
    <row r="4" spans="2:11" x14ac:dyDescent="0.2">
      <c r="B4" s="17">
        <v>1</v>
      </c>
      <c r="C4" s="15" t="s">
        <v>226</v>
      </c>
      <c r="D4" s="15">
        <v>0</v>
      </c>
      <c r="E4" s="15">
        <v>0</v>
      </c>
      <c r="H4" s="13">
        <v>1</v>
      </c>
      <c r="I4" t="s">
        <v>295</v>
      </c>
      <c r="J4">
        <v>0</v>
      </c>
      <c r="K4">
        <v>0</v>
      </c>
    </row>
    <row r="5" spans="2:11" x14ac:dyDescent="0.2">
      <c r="B5" s="13">
        <v>2</v>
      </c>
      <c r="C5" t="s">
        <v>227</v>
      </c>
      <c r="D5">
        <v>0</v>
      </c>
      <c r="E5">
        <v>1</v>
      </c>
      <c r="H5" s="13">
        <v>2</v>
      </c>
      <c r="I5" t="s">
        <v>296</v>
      </c>
      <c r="J5">
        <v>0</v>
      </c>
      <c r="K5">
        <v>1</v>
      </c>
    </row>
    <row r="6" spans="2:11" x14ac:dyDescent="0.2">
      <c r="B6" s="17">
        <v>3</v>
      </c>
      <c r="C6" s="15" t="s">
        <v>229</v>
      </c>
      <c r="D6" s="15">
        <v>0</v>
      </c>
      <c r="E6" s="15">
        <v>2</v>
      </c>
      <c r="H6" s="13">
        <v>3</v>
      </c>
      <c r="I6" t="s">
        <v>294</v>
      </c>
      <c r="J6">
        <v>0</v>
      </c>
      <c r="K6">
        <v>2</v>
      </c>
    </row>
    <row r="7" spans="2:11" x14ac:dyDescent="0.2">
      <c r="B7" s="13">
        <v>4</v>
      </c>
      <c r="C7" t="s">
        <v>231</v>
      </c>
      <c r="D7">
        <v>0</v>
      </c>
      <c r="E7">
        <v>3</v>
      </c>
      <c r="H7" s="13">
        <v>4</v>
      </c>
      <c r="J7">
        <v>0</v>
      </c>
      <c r="K7">
        <v>3</v>
      </c>
    </row>
    <row r="8" spans="2:11" x14ac:dyDescent="0.2">
      <c r="B8" s="17">
        <v>5</v>
      </c>
      <c r="C8" s="15" t="s">
        <v>233</v>
      </c>
      <c r="D8" s="15">
        <v>0</v>
      </c>
      <c r="E8" s="15">
        <v>4</v>
      </c>
      <c r="H8" s="13">
        <v>5</v>
      </c>
      <c r="I8" t="s">
        <v>297</v>
      </c>
      <c r="J8">
        <v>0</v>
      </c>
      <c r="K8">
        <v>4</v>
      </c>
    </row>
    <row r="9" spans="2:11" x14ac:dyDescent="0.2">
      <c r="B9" s="13">
        <v>6</v>
      </c>
      <c r="C9" t="s">
        <v>235</v>
      </c>
      <c r="D9">
        <v>0</v>
      </c>
      <c r="E9">
        <v>5</v>
      </c>
      <c r="H9" s="13">
        <v>6</v>
      </c>
      <c r="I9" t="s">
        <v>298</v>
      </c>
      <c r="J9">
        <v>0</v>
      </c>
      <c r="K9">
        <v>5</v>
      </c>
    </row>
    <row r="10" spans="2:11" x14ac:dyDescent="0.2">
      <c r="B10" s="17">
        <v>7</v>
      </c>
      <c r="C10" s="15"/>
      <c r="D10" s="15"/>
      <c r="E10" s="15"/>
      <c r="H10" s="13">
        <v>7</v>
      </c>
      <c r="I10" t="s">
        <v>299</v>
      </c>
      <c r="J10">
        <v>0</v>
      </c>
      <c r="K10">
        <v>6</v>
      </c>
    </row>
    <row r="11" spans="2:11" x14ac:dyDescent="0.2">
      <c r="B11" s="13">
        <v>8</v>
      </c>
      <c r="H11" s="13">
        <v>8</v>
      </c>
      <c r="I11" t="s">
        <v>300</v>
      </c>
      <c r="J11">
        <v>0</v>
      </c>
      <c r="K11">
        <v>7</v>
      </c>
    </row>
    <row r="12" spans="2:11" x14ac:dyDescent="0.2">
      <c r="B12" s="17">
        <v>9</v>
      </c>
      <c r="C12" s="15"/>
      <c r="D12" s="15"/>
      <c r="E12" s="15"/>
      <c r="H12" s="13">
        <v>9</v>
      </c>
      <c r="I12" t="s">
        <v>288</v>
      </c>
    </row>
    <row r="13" spans="2:11" x14ac:dyDescent="0.2">
      <c r="B13" s="13">
        <v>10</v>
      </c>
      <c r="H13" s="13">
        <v>10</v>
      </c>
      <c r="I13" t="s">
        <v>289</v>
      </c>
    </row>
    <row r="14" spans="2:11" x14ac:dyDescent="0.2">
      <c r="B14" s="17">
        <v>11</v>
      </c>
      <c r="C14" s="15" t="s">
        <v>277</v>
      </c>
      <c r="D14" s="15">
        <v>0</v>
      </c>
      <c r="E14" s="15">
        <v>6</v>
      </c>
      <c r="H14" s="13">
        <v>11</v>
      </c>
    </row>
    <row r="15" spans="2:11" x14ac:dyDescent="0.2">
      <c r="B15" s="13">
        <v>12</v>
      </c>
      <c r="C15" t="s">
        <v>278</v>
      </c>
      <c r="D15">
        <v>0</v>
      </c>
      <c r="E15">
        <v>7</v>
      </c>
      <c r="H15" s="13">
        <v>12</v>
      </c>
      <c r="I15" t="s">
        <v>290</v>
      </c>
    </row>
    <row r="16" spans="2:11" x14ac:dyDescent="0.2">
      <c r="B16" s="17">
        <v>13</v>
      </c>
      <c r="C16" s="15" t="s">
        <v>275</v>
      </c>
      <c r="D16" s="15">
        <v>1</v>
      </c>
      <c r="E16" s="15">
        <v>1</v>
      </c>
      <c r="H16" s="13">
        <v>13</v>
      </c>
      <c r="I16" t="s">
        <v>291</v>
      </c>
    </row>
    <row r="17" spans="2:11" x14ac:dyDescent="0.2">
      <c r="B17" s="13">
        <v>14</v>
      </c>
      <c r="C17" t="s">
        <v>276</v>
      </c>
      <c r="D17">
        <v>1</v>
      </c>
      <c r="E17">
        <v>0</v>
      </c>
      <c r="H17" s="13">
        <v>14</v>
      </c>
      <c r="I17" t="s">
        <v>292</v>
      </c>
    </row>
    <row r="18" spans="2:11" x14ac:dyDescent="0.2">
      <c r="B18" s="17">
        <v>15</v>
      </c>
      <c r="C18" s="15"/>
      <c r="D18" s="15"/>
      <c r="E18" s="15"/>
      <c r="H18" s="13">
        <v>15</v>
      </c>
      <c r="J18">
        <v>1</v>
      </c>
      <c r="K18">
        <v>0</v>
      </c>
    </row>
    <row r="19" spans="2:11" x14ac:dyDescent="0.2">
      <c r="B19" s="13">
        <v>16</v>
      </c>
      <c r="H19" s="13">
        <v>16</v>
      </c>
      <c r="J19">
        <v>1</v>
      </c>
      <c r="K19">
        <v>1</v>
      </c>
    </row>
    <row r="20" spans="2:11" x14ac:dyDescent="0.2">
      <c r="B20" s="17">
        <v>17</v>
      </c>
      <c r="C20" s="15"/>
      <c r="D20" s="15"/>
      <c r="E20" s="15"/>
      <c r="H20" s="13">
        <v>17</v>
      </c>
      <c r="J20">
        <v>1</v>
      </c>
      <c r="K20">
        <v>2</v>
      </c>
    </row>
    <row r="21" spans="2:11" x14ac:dyDescent="0.2">
      <c r="B21" s="13">
        <v>18</v>
      </c>
      <c r="H21" s="13">
        <v>18</v>
      </c>
      <c r="I21" t="s">
        <v>223</v>
      </c>
      <c r="J21" t="s">
        <v>293</v>
      </c>
      <c r="K21" t="s">
        <v>293</v>
      </c>
    </row>
    <row r="22" spans="2:11" x14ac:dyDescent="0.2">
      <c r="B22" s="17">
        <v>19</v>
      </c>
      <c r="C22" s="15"/>
      <c r="D22" s="15"/>
      <c r="E22" s="15"/>
      <c r="H22" s="13">
        <v>19</v>
      </c>
      <c r="I22" t="s">
        <v>223</v>
      </c>
      <c r="J22" t="s">
        <v>293</v>
      </c>
      <c r="K22" t="s">
        <v>293</v>
      </c>
    </row>
    <row r="23" spans="2:11" x14ac:dyDescent="0.2">
      <c r="B23" s="13">
        <v>20</v>
      </c>
      <c r="H23" s="13">
        <v>20</v>
      </c>
      <c r="I23" t="s">
        <v>301</v>
      </c>
      <c r="J23">
        <v>1</v>
      </c>
      <c r="K23">
        <v>3</v>
      </c>
    </row>
    <row r="24" spans="2:11" x14ac:dyDescent="0.2">
      <c r="B24" s="17">
        <v>21</v>
      </c>
      <c r="C24" s="15"/>
      <c r="D24" s="15"/>
      <c r="E24" s="15"/>
      <c r="H24" s="13">
        <v>21</v>
      </c>
      <c r="J24">
        <v>1</v>
      </c>
      <c r="K24">
        <v>4</v>
      </c>
    </row>
    <row r="25" spans="2:11" x14ac:dyDescent="0.2">
      <c r="B25" s="13">
        <v>22</v>
      </c>
      <c r="C25" t="s">
        <v>274</v>
      </c>
      <c r="D25">
        <v>1</v>
      </c>
      <c r="E25">
        <v>2</v>
      </c>
      <c r="H25" s="13">
        <v>22</v>
      </c>
      <c r="J25">
        <v>1</v>
      </c>
      <c r="K25">
        <v>5</v>
      </c>
    </row>
    <row r="26" spans="2:11" x14ac:dyDescent="0.2">
      <c r="B26" s="17">
        <v>23</v>
      </c>
      <c r="C26" s="15" t="s">
        <v>273</v>
      </c>
      <c r="D26" s="15">
        <v>1</v>
      </c>
      <c r="E26" s="15">
        <v>3</v>
      </c>
      <c r="H26" s="13">
        <v>23</v>
      </c>
      <c r="I26" t="s">
        <v>302</v>
      </c>
      <c r="J26">
        <v>1</v>
      </c>
      <c r="K26">
        <v>6</v>
      </c>
    </row>
    <row r="27" spans="2:11" x14ac:dyDescent="0.2">
      <c r="B27" s="13">
        <v>24</v>
      </c>
      <c r="C27" t="s">
        <v>271</v>
      </c>
      <c r="D27">
        <v>1</v>
      </c>
      <c r="E27">
        <v>4</v>
      </c>
      <c r="H27" s="13">
        <v>24</v>
      </c>
      <c r="I27" t="s">
        <v>268</v>
      </c>
      <c r="J27">
        <v>1</v>
      </c>
      <c r="K27">
        <v>7</v>
      </c>
    </row>
    <row r="28" spans="2:11" x14ac:dyDescent="0.2">
      <c r="B28" s="17">
        <v>25</v>
      </c>
      <c r="C28" s="15" t="s">
        <v>270</v>
      </c>
      <c r="D28" s="15">
        <v>1</v>
      </c>
      <c r="E28" s="15">
        <v>5</v>
      </c>
      <c r="H28" s="13">
        <v>25</v>
      </c>
      <c r="I28" t="s">
        <v>267</v>
      </c>
      <c r="J28">
        <v>2</v>
      </c>
      <c r="K28">
        <v>0</v>
      </c>
    </row>
    <row r="29" spans="2:11" x14ac:dyDescent="0.2">
      <c r="B29" s="22">
        <v>26</v>
      </c>
      <c r="C29" s="23" t="s">
        <v>259</v>
      </c>
      <c r="D29" s="23">
        <v>1</v>
      </c>
      <c r="E29" s="23">
        <v>6</v>
      </c>
      <c r="H29" s="13">
        <v>26</v>
      </c>
      <c r="J29">
        <v>2</v>
      </c>
      <c r="K29">
        <v>1</v>
      </c>
    </row>
    <row r="30" spans="2:11" x14ac:dyDescent="0.2">
      <c r="B30" s="17">
        <v>27</v>
      </c>
      <c r="C30" s="15"/>
      <c r="D30" s="15"/>
      <c r="E30" s="15"/>
      <c r="H30" s="13">
        <v>27</v>
      </c>
      <c r="I30" t="s">
        <v>269</v>
      </c>
      <c r="J30">
        <v>2</v>
      </c>
      <c r="K30">
        <v>2</v>
      </c>
    </row>
    <row r="31" spans="2:11" x14ac:dyDescent="0.2">
      <c r="B31" s="13">
        <v>28</v>
      </c>
      <c r="H31" s="13">
        <v>28</v>
      </c>
      <c r="I31" t="s">
        <v>303</v>
      </c>
      <c r="J31">
        <v>2</v>
      </c>
      <c r="K31">
        <v>3</v>
      </c>
    </row>
    <row r="32" spans="2:11" x14ac:dyDescent="0.2">
      <c r="B32" s="17">
        <v>29</v>
      </c>
      <c r="C32" s="15"/>
      <c r="D32" s="15"/>
      <c r="E32" s="15"/>
      <c r="H32" s="13">
        <v>29</v>
      </c>
      <c r="J32">
        <v>2</v>
      </c>
      <c r="K32">
        <v>4</v>
      </c>
    </row>
    <row r="33" spans="2:11" x14ac:dyDescent="0.2">
      <c r="B33" s="13">
        <v>30</v>
      </c>
      <c r="H33" s="13">
        <v>30</v>
      </c>
      <c r="J33">
        <v>2</v>
      </c>
      <c r="K33">
        <v>5</v>
      </c>
    </row>
    <row r="34" spans="2:11" x14ac:dyDescent="0.2">
      <c r="B34" s="17">
        <v>31</v>
      </c>
      <c r="C34" s="15"/>
      <c r="D34" s="15"/>
      <c r="E34" s="15"/>
      <c r="H34" s="13">
        <v>31</v>
      </c>
      <c r="J34">
        <v>2</v>
      </c>
      <c r="K34">
        <v>6</v>
      </c>
    </row>
    <row r="35" spans="2:11" x14ac:dyDescent="0.2">
      <c r="B35" s="13">
        <v>32</v>
      </c>
      <c r="H35" s="13">
        <v>32</v>
      </c>
      <c r="J35">
        <v>2</v>
      </c>
      <c r="K35">
        <v>7</v>
      </c>
    </row>
    <row r="36" spans="2:11" x14ac:dyDescent="0.2">
      <c r="B36" s="17">
        <v>33</v>
      </c>
      <c r="C36" s="15" t="s">
        <v>215</v>
      </c>
      <c r="D36" s="15"/>
      <c r="E36" s="15"/>
      <c r="H36" s="13">
        <v>33</v>
      </c>
      <c r="J36">
        <v>3</v>
      </c>
      <c r="K36">
        <v>0</v>
      </c>
    </row>
    <row r="37" spans="2:11" x14ac:dyDescent="0.2">
      <c r="B37" s="13">
        <v>34</v>
      </c>
      <c r="C37" t="s">
        <v>215</v>
      </c>
      <c r="H37" s="13">
        <v>34</v>
      </c>
      <c r="J37">
        <v>3</v>
      </c>
      <c r="K37">
        <v>1</v>
      </c>
    </row>
    <row r="38" spans="2:11" x14ac:dyDescent="0.2">
      <c r="B38" s="17">
        <v>35</v>
      </c>
      <c r="C38" s="15" t="s">
        <v>215</v>
      </c>
      <c r="D38" s="15"/>
      <c r="E38" s="15"/>
      <c r="H38" s="13">
        <v>35</v>
      </c>
      <c r="J38">
        <v>3</v>
      </c>
      <c r="K38">
        <v>2</v>
      </c>
    </row>
    <row r="39" spans="2:11" x14ac:dyDescent="0.2">
      <c r="B39" s="13">
        <v>36</v>
      </c>
      <c r="C39" t="s">
        <v>224</v>
      </c>
      <c r="D39" t="s">
        <v>293</v>
      </c>
      <c r="E39" t="s">
        <v>293</v>
      </c>
      <c r="H39" s="13">
        <v>36</v>
      </c>
      <c r="I39" t="s">
        <v>224</v>
      </c>
      <c r="J39" t="s">
        <v>293</v>
      </c>
      <c r="K39" t="s">
        <v>293</v>
      </c>
    </row>
    <row r="40" spans="2:11" x14ac:dyDescent="0.2">
      <c r="B40" s="18">
        <v>37</v>
      </c>
      <c r="C40" s="16" t="s">
        <v>305</v>
      </c>
      <c r="D40" s="15" t="s">
        <v>293</v>
      </c>
      <c r="E40" s="15" t="s">
        <v>293</v>
      </c>
      <c r="H40" s="21">
        <v>37</v>
      </c>
      <c r="I40" s="16" t="s">
        <v>305</v>
      </c>
      <c r="J40" t="s">
        <v>293</v>
      </c>
      <c r="K40" t="s">
        <v>293</v>
      </c>
    </row>
  </sheetData>
  <pageMargins left="0.7" right="0.7" top="0.78740157499999996" bottom="0.78740157499999996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296C-FFDF-7C40-8D1D-D247C6E75B68}">
  <dimension ref="B3:G40"/>
  <sheetViews>
    <sheetView zoomScale="91" workbookViewId="0">
      <selection activeCell="B2" sqref="B2"/>
    </sheetView>
  </sheetViews>
  <sheetFormatPr baseColWidth="10" defaultRowHeight="15" x14ac:dyDescent="0.2"/>
  <cols>
    <col min="2" max="2" width="3.6640625" style="13" bestFit="1" customWidth="1"/>
    <col min="3" max="3" width="33.6640625" bestFit="1" customWidth="1"/>
    <col min="4" max="4" width="18.6640625" customWidth="1"/>
    <col min="5" max="5" width="36.33203125" bestFit="1" customWidth="1"/>
    <col min="6" max="6" width="31.5" customWidth="1"/>
    <col min="7" max="7" width="4.6640625" style="13" bestFit="1" customWidth="1"/>
  </cols>
  <sheetData>
    <row r="3" spans="2:7" x14ac:dyDescent="0.2">
      <c r="B3" s="13" t="s">
        <v>2</v>
      </c>
      <c r="C3" t="s">
        <v>221</v>
      </c>
      <c r="D3" t="s">
        <v>220</v>
      </c>
      <c r="E3" t="s">
        <v>219</v>
      </c>
      <c r="F3" t="s">
        <v>218</v>
      </c>
      <c r="G3" s="14" t="s">
        <v>266</v>
      </c>
    </row>
    <row r="4" spans="2:7" x14ac:dyDescent="0.2">
      <c r="B4" s="13">
        <v>1</v>
      </c>
      <c r="C4" t="s">
        <v>281</v>
      </c>
      <c r="E4" t="s">
        <v>226</v>
      </c>
      <c r="F4" s="12" t="s">
        <v>222</v>
      </c>
      <c r="G4" s="13">
        <f>Tabelle1[[#This Row],[Pin]]</f>
        <v>1</v>
      </c>
    </row>
    <row r="5" spans="2:7" x14ac:dyDescent="0.2">
      <c r="B5" s="13">
        <v>2</v>
      </c>
      <c r="C5" t="s">
        <v>283</v>
      </c>
      <c r="E5" t="s">
        <v>227</v>
      </c>
      <c r="F5" t="s">
        <v>228</v>
      </c>
      <c r="G5" s="13">
        <f>Tabelle1[[#This Row],[Pin]]</f>
        <v>2</v>
      </c>
    </row>
    <row r="6" spans="2:7" x14ac:dyDescent="0.2">
      <c r="B6" s="13">
        <v>3</v>
      </c>
      <c r="C6" t="s">
        <v>282</v>
      </c>
      <c r="E6" t="s">
        <v>229</v>
      </c>
      <c r="F6" t="s">
        <v>230</v>
      </c>
      <c r="G6" s="13">
        <f>Tabelle1[[#This Row],[Pin]]</f>
        <v>3</v>
      </c>
    </row>
    <row r="7" spans="2:7" x14ac:dyDescent="0.2">
      <c r="B7" s="13">
        <v>4</v>
      </c>
      <c r="E7" t="s">
        <v>231</v>
      </c>
      <c r="F7" t="s">
        <v>232</v>
      </c>
      <c r="G7" s="13">
        <f>Tabelle1[[#This Row],[Pin]]</f>
        <v>4</v>
      </c>
    </row>
    <row r="8" spans="2:7" x14ac:dyDescent="0.2">
      <c r="B8" s="13">
        <v>5</v>
      </c>
      <c r="C8" t="s">
        <v>284</v>
      </c>
      <c r="E8" t="s">
        <v>233</v>
      </c>
      <c r="F8" t="s">
        <v>234</v>
      </c>
      <c r="G8" s="13">
        <f>Tabelle1[[#This Row],[Pin]]</f>
        <v>5</v>
      </c>
    </row>
    <row r="9" spans="2:7" x14ac:dyDescent="0.2">
      <c r="B9" s="13">
        <v>6</v>
      </c>
      <c r="C9" t="s">
        <v>285</v>
      </c>
      <c r="E9" t="s">
        <v>235</v>
      </c>
      <c r="F9" t="s">
        <v>236</v>
      </c>
      <c r="G9" s="13">
        <f>Tabelle1[[#This Row],[Pin]]</f>
        <v>6</v>
      </c>
    </row>
    <row r="10" spans="2:7" x14ac:dyDescent="0.2">
      <c r="B10" s="13">
        <v>7</v>
      </c>
      <c r="C10" t="s">
        <v>286</v>
      </c>
      <c r="E10" t="s">
        <v>237</v>
      </c>
      <c r="F10" t="s">
        <v>238</v>
      </c>
      <c r="G10" s="13">
        <f>Tabelle1[[#This Row],[Pin]]</f>
        <v>7</v>
      </c>
    </row>
    <row r="11" spans="2:7" x14ac:dyDescent="0.2">
      <c r="B11" s="13">
        <v>8</v>
      </c>
      <c r="C11" t="s">
        <v>287</v>
      </c>
      <c r="E11" t="s">
        <v>239</v>
      </c>
      <c r="F11" t="s">
        <v>240</v>
      </c>
      <c r="G11" s="13">
        <f>Tabelle1[[#This Row],[Pin]]</f>
        <v>8</v>
      </c>
    </row>
    <row r="12" spans="2:7" x14ac:dyDescent="0.2">
      <c r="B12" s="13">
        <v>9</v>
      </c>
      <c r="C12" t="s">
        <v>288</v>
      </c>
      <c r="E12" t="s">
        <v>241</v>
      </c>
      <c r="F12" t="s">
        <v>242</v>
      </c>
      <c r="G12" s="13">
        <f>Tabelle1[[#This Row],[Pin]]</f>
        <v>9</v>
      </c>
    </row>
    <row r="13" spans="2:7" x14ac:dyDescent="0.2">
      <c r="B13" s="13">
        <v>10</v>
      </c>
      <c r="C13" t="s">
        <v>289</v>
      </c>
      <c r="E13" t="s">
        <v>243</v>
      </c>
      <c r="F13" t="s">
        <v>242</v>
      </c>
      <c r="G13" s="13">
        <f>Tabelle1[[#This Row],[Pin]]</f>
        <v>10</v>
      </c>
    </row>
    <row r="14" spans="2:7" x14ac:dyDescent="0.2">
      <c r="B14" s="13">
        <v>11</v>
      </c>
      <c r="E14" t="s">
        <v>244</v>
      </c>
      <c r="F14" t="s">
        <v>245</v>
      </c>
      <c r="G14" s="13">
        <f>Tabelle1[[#This Row],[Pin]]</f>
        <v>11</v>
      </c>
    </row>
    <row r="15" spans="2:7" x14ac:dyDescent="0.2">
      <c r="B15" s="13">
        <v>12</v>
      </c>
      <c r="C15" t="s">
        <v>290</v>
      </c>
      <c r="E15" t="s">
        <v>244</v>
      </c>
      <c r="F15" t="s">
        <v>245</v>
      </c>
      <c r="G15" s="13">
        <f>Tabelle1[[#This Row],[Pin]]</f>
        <v>12</v>
      </c>
    </row>
    <row r="16" spans="2:7" x14ac:dyDescent="0.2">
      <c r="B16" s="13">
        <v>13</v>
      </c>
      <c r="C16" t="s">
        <v>291</v>
      </c>
      <c r="E16" t="s">
        <v>246</v>
      </c>
      <c r="F16" t="s">
        <v>247</v>
      </c>
      <c r="G16" s="13">
        <f>Tabelle1[[#This Row],[Pin]]</f>
        <v>13</v>
      </c>
    </row>
    <row r="17" spans="2:7" x14ac:dyDescent="0.2">
      <c r="B17" s="13">
        <v>14</v>
      </c>
      <c r="C17" t="s">
        <v>292</v>
      </c>
      <c r="E17" t="s">
        <v>246</v>
      </c>
      <c r="F17" t="s">
        <v>247</v>
      </c>
      <c r="G17" s="13">
        <f>Tabelle1[[#This Row],[Pin]]</f>
        <v>14</v>
      </c>
    </row>
    <row r="18" spans="2:7" x14ac:dyDescent="0.2">
      <c r="B18" s="13">
        <v>15</v>
      </c>
      <c r="E18" t="s">
        <v>248</v>
      </c>
      <c r="F18" t="s">
        <v>249</v>
      </c>
      <c r="G18" s="13">
        <f>Tabelle1[[#This Row],[Pin]]</f>
        <v>15</v>
      </c>
    </row>
    <row r="19" spans="2:7" x14ac:dyDescent="0.2">
      <c r="B19" s="13">
        <v>16</v>
      </c>
      <c r="E19" t="s">
        <v>248</v>
      </c>
      <c r="F19" t="s">
        <v>250</v>
      </c>
      <c r="G19" s="13">
        <f>Tabelle1[[#This Row],[Pin]]</f>
        <v>16</v>
      </c>
    </row>
    <row r="20" spans="2:7" x14ac:dyDescent="0.2">
      <c r="B20" s="13">
        <v>17</v>
      </c>
      <c r="E20" t="s">
        <v>216</v>
      </c>
      <c r="F20" t="s">
        <v>215</v>
      </c>
      <c r="G20" s="13">
        <f>Tabelle1[[#This Row],[Pin]]</f>
        <v>17</v>
      </c>
    </row>
    <row r="21" spans="2:7" x14ac:dyDescent="0.2">
      <c r="B21" s="13">
        <v>18</v>
      </c>
      <c r="E21" t="s">
        <v>217</v>
      </c>
      <c r="F21" t="s">
        <v>215</v>
      </c>
      <c r="G21" s="13">
        <f>Tabelle1[[#This Row],[Pin]]</f>
        <v>18</v>
      </c>
    </row>
    <row r="22" spans="2:7" x14ac:dyDescent="0.2">
      <c r="B22" s="13">
        <v>19</v>
      </c>
      <c r="D22" t="s">
        <v>223</v>
      </c>
      <c r="E22" t="s">
        <v>223</v>
      </c>
      <c r="F22" t="s">
        <v>223</v>
      </c>
      <c r="G22" s="13">
        <f>Tabelle1[[#This Row],[Pin]]</f>
        <v>19</v>
      </c>
    </row>
    <row r="23" spans="2:7" x14ac:dyDescent="0.2">
      <c r="B23" s="13">
        <v>20</v>
      </c>
      <c r="C23" t="s">
        <v>280</v>
      </c>
      <c r="E23" t="s">
        <v>251</v>
      </c>
      <c r="F23" t="s">
        <v>252</v>
      </c>
      <c r="G23" s="13">
        <f>Tabelle1[[#This Row],[Pin]]</f>
        <v>20</v>
      </c>
    </row>
    <row r="24" spans="2:7" x14ac:dyDescent="0.2">
      <c r="B24" s="13">
        <v>21</v>
      </c>
      <c r="E24" t="s">
        <v>251</v>
      </c>
      <c r="F24" t="s">
        <v>252</v>
      </c>
      <c r="G24" s="13">
        <f>Tabelle1[[#This Row],[Pin]]</f>
        <v>21</v>
      </c>
    </row>
    <row r="25" spans="2:7" x14ac:dyDescent="0.2">
      <c r="B25" s="13">
        <v>22</v>
      </c>
      <c r="E25" t="s">
        <v>253</v>
      </c>
      <c r="F25" t="s">
        <v>254</v>
      </c>
      <c r="G25" s="13">
        <f>Tabelle1[[#This Row],[Pin]]</f>
        <v>22</v>
      </c>
    </row>
    <row r="26" spans="2:7" x14ac:dyDescent="0.2">
      <c r="B26" s="13">
        <v>23</v>
      </c>
      <c r="C26" t="s">
        <v>279</v>
      </c>
      <c r="E26" t="s">
        <v>253</v>
      </c>
      <c r="F26" t="s">
        <v>255</v>
      </c>
      <c r="G26" s="13">
        <f>Tabelle1[[#This Row],[Pin]]</f>
        <v>23</v>
      </c>
    </row>
    <row r="27" spans="2:7" x14ac:dyDescent="0.2">
      <c r="B27" s="13">
        <v>24</v>
      </c>
      <c r="C27" t="s">
        <v>268</v>
      </c>
      <c r="E27" t="s">
        <v>256</v>
      </c>
      <c r="F27" t="s">
        <v>257</v>
      </c>
      <c r="G27" s="13">
        <f>Tabelle1[[#This Row],[Pin]]</f>
        <v>24</v>
      </c>
    </row>
    <row r="28" spans="2:7" x14ac:dyDescent="0.2">
      <c r="B28" s="13">
        <v>25</v>
      </c>
      <c r="C28" t="s">
        <v>267</v>
      </c>
      <c r="E28" t="s">
        <v>256</v>
      </c>
      <c r="F28" t="s">
        <v>258</v>
      </c>
      <c r="G28" s="13">
        <f>Tabelle1[[#This Row],[Pin]]</f>
        <v>25</v>
      </c>
    </row>
    <row r="29" spans="2:7" x14ac:dyDescent="0.2">
      <c r="B29" s="13">
        <v>26</v>
      </c>
      <c r="E29" t="s">
        <v>259</v>
      </c>
      <c r="F29" t="s">
        <v>260</v>
      </c>
      <c r="G29" s="13">
        <f>Tabelle1[[#This Row],[Pin]]</f>
        <v>26</v>
      </c>
    </row>
    <row r="30" spans="2:7" x14ac:dyDescent="0.2">
      <c r="B30" s="13">
        <v>27</v>
      </c>
      <c r="C30" t="s">
        <v>269</v>
      </c>
      <c r="E30" t="s">
        <v>261</v>
      </c>
      <c r="F30" t="s">
        <v>215</v>
      </c>
      <c r="G30" s="13">
        <f>Tabelle1[[#This Row],[Pin]]</f>
        <v>27</v>
      </c>
    </row>
    <row r="31" spans="2:7" x14ac:dyDescent="0.2">
      <c r="B31" s="13">
        <v>28</v>
      </c>
      <c r="E31" t="s">
        <v>262</v>
      </c>
      <c r="F31" t="s">
        <v>215</v>
      </c>
      <c r="G31" s="13">
        <f>Tabelle1[[#This Row],[Pin]]</f>
        <v>28</v>
      </c>
    </row>
    <row r="32" spans="2:7" x14ac:dyDescent="0.2">
      <c r="B32" s="13">
        <v>29</v>
      </c>
      <c r="E32" t="s">
        <v>216</v>
      </c>
      <c r="F32" t="s">
        <v>215</v>
      </c>
      <c r="G32" s="13">
        <f>Tabelle1[[#This Row],[Pin]]</f>
        <v>29</v>
      </c>
    </row>
    <row r="33" spans="2:7" x14ac:dyDescent="0.2">
      <c r="B33" s="13">
        <v>30</v>
      </c>
      <c r="E33" t="s">
        <v>263</v>
      </c>
      <c r="F33" t="s">
        <v>215</v>
      </c>
      <c r="G33" s="13">
        <f>Tabelle1[[#This Row],[Pin]]</f>
        <v>30</v>
      </c>
    </row>
    <row r="34" spans="2:7" x14ac:dyDescent="0.2">
      <c r="B34" s="13">
        <v>31</v>
      </c>
      <c r="E34" t="s">
        <v>264</v>
      </c>
      <c r="F34" t="s">
        <v>215</v>
      </c>
      <c r="G34" s="13">
        <f>Tabelle1[[#This Row],[Pin]]</f>
        <v>31</v>
      </c>
    </row>
    <row r="35" spans="2:7" x14ac:dyDescent="0.2">
      <c r="B35" s="13">
        <v>32</v>
      </c>
      <c r="E35" t="s">
        <v>265</v>
      </c>
      <c r="F35" t="s">
        <v>215</v>
      </c>
      <c r="G35" s="13">
        <f>Tabelle1[[#This Row],[Pin]]</f>
        <v>32</v>
      </c>
    </row>
    <row r="36" spans="2:7" x14ac:dyDescent="0.2">
      <c r="B36" s="13">
        <v>33</v>
      </c>
      <c r="D36" t="s">
        <v>225</v>
      </c>
      <c r="E36" t="s">
        <v>215</v>
      </c>
      <c r="F36" t="s">
        <v>215</v>
      </c>
      <c r="G36" s="13">
        <f>Tabelle1[[#This Row],[Pin]]</f>
        <v>33</v>
      </c>
    </row>
    <row r="37" spans="2:7" x14ac:dyDescent="0.2">
      <c r="B37" s="13">
        <v>34</v>
      </c>
      <c r="E37" t="s">
        <v>215</v>
      </c>
      <c r="F37" t="s">
        <v>215</v>
      </c>
      <c r="G37" s="13">
        <f>Tabelle1[[#This Row],[Pin]]</f>
        <v>34</v>
      </c>
    </row>
    <row r="38" spans="2:7" x14ac:dyDescent="0.2">
      <c r="B38" s="13">
        <v>35</v>
      </c>
      <c r="E38" t="s">
        <v>215</v>
      </c>
      <c r="F38" t="s">
        <v>215</v>
      </c>
      <c r="G38" s="13">
        <f>Tabelle1[[#This Row],[Pin]]</f>
        <v>35</v>
      </c>
    </row>
    <row r="39" spans="2:7" x14ac:dyDescent="0.2">
      <c r="B39" s="13">
        <v>36</v>
      </c>
      <c r="D39" t="s">
        <v>224</v>
      </c>
      <c r="E39" t="s">
        <v>224</v>
      </c>
      <c r="F39" t="s">
        <v>224</v>
      </c>
      <c r="G39" s="13">
        <f>Tabelle1[[#This Row],[Pin]]</f>
        <v>36</v>
      </c>
    </row>
    <row r="40" spans="2:7" x14ac:dyDescent="0.2">
      <c r="B40" s="13">
        <v>37</v>
      </c>
      <c r="E40" t="s">
        <v>215</v>
      </c>
      <c r="F40" t="s">
        <v>215</v>
      </c>
      <c r="G40" s="13">
        <f>Tabelle1[[#This Row],[Pin]]</f>
        <v>37</v>
      </c>
    </row>
  </sheetData>
  <pageMargins left="0.7" right="0.7" top="0.78740157499999996" bottom="0.78740157499999996" header="0.3" footer="0.3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47"/>
  <sheetViews>
    <sheetView zoomScale="85" zoomScaleNormal="85" workbookViewId="0">
      <selection activeCell="E11" sqref="E11"/>
    </sheetView>
  </sheetViews>
  <sheetFormatPr baseColWidth="10" defaultRowHeight="15" x14ac:dyDescent="0.2"/>
  <cols>
    <col min="3" max="3" width="10.5" customWidth="1"/>
    <col min="5" max="5" width="13.33203125" customWidth="1"/>
    <col min="6" max="6" width="32.83203125" customWidth="1"/>
  </cols>
  <sheetData>
    <row r="3" spans="2:9" ht="24" customHeight="1" thickBot="1" x14ac:dyDescent="0.35">
      <c r="B3" s="25" t="s">
        <v>0</v>
      </c>
      <c r="C3" s="25"/>
      <c r="D3" s="25"/>
      <c r="E3" s="25"/>
      <c r="F3" s="25"/>
      <c r="G3" s="25"/>
      <c r="H3" s="25"/>
      <c r="I3" s="25"/>
    </row>
    <row r="4" spans="2:9" ht="16" thickTop="1" x14ac:dyDescent="0.2"/>
    <row r="5" spans="2:9" ht="16" thickBot="1" x14ac:dyDescent="0.25">
      <c r="B5" s="3" t="s">
        <v>2</v>
      </c>
      <c r="C5" s="2" t="s">
        <v>3</v>
      </c>
      <c r="D5" s="8" t="s">
        <v>199</v>
      </c>
      <c r="E5" s="2" t="s">
        <v>4</v>
      </c>
      <c r="F5" s="2" t="s">
        <v>5</v>
      </c>
      <c r="G5" s="2"/>
      <c r="H5" s="2"/>
      <c r="I5" s="2"/>
    </row>
    <row r="6" spans="2:9" x14ac:dyDescent="0.2">
      <c r="B6" s="4">
        <v>1</v>
      </c>
      <c r="C6" s="1" t="s">
        <v>43</v>
      </c>
      <c r="D6" s="11" t="s">
        <v>188</v>
      </c>
      <c r="E6" s="1" t="s">
        <v>71</v>
      </c>
      <c r="F6" s="1" t="s">
        <v>80</v>
      </c>
      <c r="G6" t="s">
        <v>6</v>
      </c>
    </row>
    <row r="7" spans="2:9" x14ac:dyDescent="0.2">
      <c r="B7" s="4">
        <v>2</v>
      </c>
      <c r="C7" s="1" t="s">
        <v>44</v>
      </c>
      <c r="D7" s="9" t="s">
        <v>189</v>
      </c>
      <c r="E7" s="1" t="s">
        <v>72</v>
      </c>
      <c r="F7" s="1" t="s">
        <v>81</v>
      </c>
      <c r="G7" t="s">
        <v>7</v>
      </c>
    </row>
    <row r="8" spans="2:9" x14ac:dyDescent="0.2">
      <c r="B8" s="4">
        <v>3</v>
      </c>
      <c r="C8" s="1" t="s">
        <v>45</v>
      </c>
      <c r="D8" s="9" t="s">
        <v>190</v>
      </c>
      <c r="E8" s="1" t="s">
        <v>73</v>
      </c>
      <c r="F8" s="1" t="s">
        <v>82</v>
      </c>
      <c r="G8" t="s">
        <v>8</v>
      </c>
    </row>
    <row r="9" spans="2:9" x14ac:dyDescent="0.2">
      <c r="B9" s="4">
        <v>4</v>
      </c>
      <c r="C9" s="1" t="s">
        <v>46</v>
      </c>
      <c r="D9" s="9" t="s">
        <v>191</v>
      </c>
      <c r="E9" s="1" t="s">
        <v>74</v>
      </c>
      <c r="F9" s="1" t="s">
        <v>83</v>
      </c>
      <c r="G9" t="s">
        <v>9</v>
      </c>
    </row>
    <row r="10" spans="2:9" x14ac:dyDescent="0.2">
      <c r="B10" s="4">
        <v>5</v>
      </c>
      <c r="C10" s="1" t="s">
        <v>47</v>
      </c>
      <c r="D10" s="9" t="s">
        <v>192</v>
      </c>
      <c r="E10" s="1" t="s">
        <v>75</v>
      </c>
      <c r="F10" s="1" t="s">
        <v>84</v>
      </c>
      <c r="G10" t="s">
        <v>10</v>
      </c>
    </row>
    <row r="11" spans="2:9" x14ac:dyDescent="0.2">
      <c r="B11" s="4">
        <v>6</v>
      </c>
      <c r="C11" s="1" t="s">
        <v>48</v>
      </c>
      <c r="D11" s="9" t="s">
        <v>193</v>
      </c>
      <c r="E11" s="1" t="s">
        <v>76</v>
      </c>
      <c r="F11" s="1" t="s">
        <v>85</v>
      </c>
      <c r="G11" t="s">
        <v>11</v>
      </c>
    </row>
    <row r="12" spans="2:9" x14ac:dyDescent="0.2">
      <c r="B12" s="4">
        <v>7</v>
      </c>
      <c r="C12" s="1" t="s">
        <v>52</v>
      </c>
      <c r="D12" s="9" t="s">
        <v>195</v>
      </c>
      <c r="E12" s="1" t="s">
        <v>109</v>
      </c>
      <c r="F12" s="1" t="s">
        <v>89</v>
      </c>
      <c r="G12" t="s">
        <v>12</v>
      </c>
    </row>
    <row r="13" spans="2:9" x14ac:dyDescent="0.2">
      <c r="B13" s="4">
        <v>8</v>
      </c>
      <c r="C13" s="1" t="s">
        <v>53</v>
      </c>
      <c r="D13" s="9" t="s">
        <v>194</v>
      </c>
      <c r="E13" s="1" t="s">
        <v>110</v>
      </c>
      <c r="F13" s="1" t="s">
        <v>90</v>
      </c>
      <c r="G13" t="s">
        <v>13</v>
      </c>
    </row>
    <row r="14" spans="2:9" x14ac:dyDescent="0.2">
      <c r="B14" s="4">
        <v>9</v>
      </c>
      <c r="C14" s="1" t="s">
        <v>54</v>
      </c>
      <c r="D14" s="9" t="s">
        <v>196</v>
      </c>
      <c r="E14" s="1" t="s">
        <v>111</v>
      </c>
      <c r="F14" s="1" t="s">
        <v>91</v>
      </c>
      <c r="G14" t="s">
        <v>14</v>
      </c>
    </row>
    <row r="15" spans="2:9" x14ac:dyDescent="0.2">
      <c r="B15" s="4">
        <v>10</v>
      </c>
      <c r="C15" s="1" t="s">
        <v>55</v>
      </c>
      <c r="D15" s="9" t="s">
        <v>197</v>
      </c>
      <c r="E15" s="1" t="s">
        <v>112</v>
      </c>
      <c r="F15" s="1" t="s">
        <v>92</v>
      </c>
      <c r="G15" t="s">
        <v>15</v>
      </c>
    </row>
    <row r="16" spans="2:9" x14ac:dyDescent="0.2">
      <c r="B16" s="4">
        <v>11</v>
      </c>
      <c r="C16" s="1" t="s">
        <v>181</v>
      </c>
      <c r="D16" s="9" t="s">
        <v>198</v>
      </c>
      <c r="E16" s="1" t="s">
        <v>113</v>
      </c>
      <c r="F16" s="1" t="s">
        <v>186</v>
      </c>
      <c r="G16" t="s">
        <v>16</v>
      </c>
    </row>
    <row r="17" spans="2:7" x14ac:dyDescent="0.2">
      <c r="B17" s="4">
        <v>12</v>
      </c>
      <c r="C17" s="1" t="s">
        <v>157</v>
      </c>
      <c r="D17" s="9" t="s">
        <v>200</v>
      </c>
      <c r="E17" s="1" t="s">
        <v>77</v>
      </c>
      <c r="F17" s="1" t="s">
        <v>101</v>
      </c>
      <c r="G17" t="s">
        <v>17</v>
      </c>
    </row>
    <row r="18" spans="2:7" x14ac:dyDescent="0.2">
      <c r="B18" s="4">
        <v>13</v>
      </c>
      <c r="C18" s="1" t="s">
        <v>158</v>
      </c>
      <c r="D18" s="9" t="s">
        <v>201</v>
      </c>
      <c r="E18" s="1" t="s">
        <v>114</v>
      </c>
      <c r="F18" s="1" t="s">
        <v>102</v>
      </c>
      <c r="G18" t="s">
        <v>18</v>
      </c>
    </row>
    <row r="19" spans="2:7" x14ac:dyDescent="0.2">
      <c r="B19" s="4">
        <v>14</v>
      </c>
      <c r="C19" s="1" t="s">
        <v>182</v>
      </c>
      <c r="D19" s="9" t="s">
        <v>202</v>
      </c>
      <c r="E19" s="1" t="s">
        <v>115</v>
      </c>
      <c r="F19" s="1" t="s">
        <v>103</v>
      </c>
      <c r="G19" t="s">
        <v>19</v>
      </c>
    </row>
    <row r="20" spans="2:7" x14ac:dyDescent="0.2">
      <c r="B20" s="4">
        <v>15</v>
      </c>
      <c r="C20" s="1" t="s">
        <v>56</v>
      </c>
      <c r="D20" s="9" t="s">
        <v>203</v>
      </c>
      <c r="E20" s="1" t="s">
        <v>116</v>
      </c>
      <c r="F20" s="1" t="s">
        <v>93</v>
      </c>
      <c r="G20" t="s">
        <v>20</v>
      </c>
    </row>
    <row r="21" spans="2:7" x14ac:dyDescent="0.2">
      <c r="B21" s="4">
        <v>16</v>
      </c>
      <c r="C21" s="1" t="s">
        <v>57</v>
      </c>
      <c r="D21" s="9" t="s">
        <v>204</v>
      </c>
      <c r="E21" s="1" t="s">
        <v>117</v>
      </c>
      <c r="F21" s="1" t="s">
        <v>94</v>
      </c>
      <c r="G21" t="s">
        <v>21</v>
      </c>
    </row>
    <row r="22" spans="2:7" x14ac:dyDescent="0.2">
      <c r="B22" s="5">
        <v>17</v>
      </c>
      <c r="C22" s="6" t="s">
        <v>58</v>
      </c>
      <c r="D22" s="10"/>
      <c r="E22" s="6" t="s">
        <v>118</v>
      </c>
      <c r="F22" s="6" t="s">
        <v>108</v>
      </c>
      <c r="G22" t="s">
        <v>22</v>
      </c>
    </row>
    <row r="23" spans="2:7" x14ac:dyDescent="0.2">
      <c r="B23" s="4">
        <v>18</v>
      </c>
      <c r="C23" s="1"/>
      <c r="D23" s="9"/>
      <c r="E23" s="1"/>
      <c r="F23" s="1" t="s">
        <v>86</v>
      </c>
      <c r="G23" t="s">
        <v>23</v>
      </c>
    </row>
    <row r="24" spans="2:7" x14ac:dyDescent="0.2">
      <c r="B24" s="4">
        <v>19</v>
      </c>
      <c r="C24" s="1" t="s">
        <v>51</v>
      </c>
      <c r="E24" s="1" t="s">
        <v>119</v>
      </c>
      <c r="F24" s="1" t="s">
        <v>86</v>
      </c>
      <c r="G24" t="s">
        <v>24</v>
      </c>
    </row>
    <row r="25" spans="2:7" x14ac:dyDescent="0.2">
      <c r="B25" s="4">
        <v>20</v>
      </c>
      <c r="C25" s="1" t="s">
        <v>59</v>
      </c>
      <c r="D25" s="9" t="s">
        <v>205</v>
      </c>
      <c r="E25" s="1" t="s">
        <v>120</v>
      </c>
      <c r="F25" s="1" t="s">
        <v>95</v>
      </c>
      <c r="G25" t="s">
        <v>25</v>
      </c>
    </row>
    <row r="26" spans="2:7" x14ac:dyDescent="0.2">
      <c r="B26" s="4">
        <v>21</v>
      </c>
      <c r="C26" s="1" t="s">
        <v>60</v>
      </c>
      <c r="D26" s="9" t="s">
        <v>206</v>
      </c>
      <c r="E26" s="1" t="s">
        <v>121</v>
      </c>
      <c r="F26" s="1" t="s">
        <v>96</v>
      </c>
      <c r="G26" t="s">
        <v>26</v>
      </c>
    </row>
    <row r="27" spans="2:7" x14ac:dyDescent="0.2">
      <c r="B27" s="4">
        <v>22</v>
      </c>
      <c r="C27" s="1" t="s">
        <v>61</v>
      </c>
      <c r="D27" s="9" t="s">
        <v>207</v>
      </c>
      <c r="E27" s="1" t="s">
        <v>122</v>
      </c>
      <c r="F27" s="1" t="s">
        <v>97</v>
      </c>
      <c r="G27" t="s">
        <v>27</v>
      </c>
    </row>
    <row r="28" spans="2:7" x14ac:dyDescent="0.2">
      <c r="B28" s="4">
        <v>23</v>
      </c>
      <c r="C28" s="1" t="s">
        <v>62</v>
      </c>
      <c r="D28" s="9" t="s">
        <v>208</v>
      </c>
      <c r="E28" s="1" t="s">
        <v>123</v>
      </c>
      <c r="F28" s="1" t="s">
        <v>98</v>
      </c>
      <c r="G28" t="s">
        <v>28</v>
      </c>
    </row>
    <row r="29" spans="2:7" x14ac:dyDescent="0.2">
      <c r="B29" s="4">
        <v>24</v>
      </c>
      <c r="C29" s="1" t="s">
        <v>63</v>
      </c>
      <c r="D29" s="9" t="s">
        <v>209</v>
      </c>
      <c r="E29" s="1" t="s">
        <v>124</v>
      </c>
      <c r="F29" s="1" t="s">
        <v>99</v>
      </c>
      <c r="G29" t="s">
        <v>29</v>
      </c>
    </row>
    <row r="30" spans="2:7" x14ac:dyDescent="0.2">
      <c r="B30" s="4">
        <v>25</v>
      </c>
      <c r="C30" s="1" t="s">
        <v>64</v>
      </c>
      <c r="D30" s="9" t="s">
        <v>210</v>
      </c>
      <c r="E30" s="1" t="s">
        <v>125</v>
      </c>
      <c r="F30" s="1" t="s">
        <v>100</v>
      </c>
      <c r="G30" t="s">
        <v>30</v>
      </c>
    </row>
    <row r="31" spans="2:7" x14ac:dyDescent="0.2">
      <c r="B31" s="4">
        <v>26</v>
      </c>
      <c r="C31" s="1" t="s">
        <v>160</v>
      </c>
      <c r="D31" s="9" t="s">
        <v>211</v>
      </c>
      <c r="E31" s="1" t="s">
        <v>126</v>
      </c>
      <c r="F31" s="1" t="s">
        <v>104</v>
      </c>
      <c r="G31" t="s">
        <v>31</v>
      </c>
    </row>
    <row r="32" spans="2:7" x14ac:dyDescent="0.2">
      <c r="B32" s="4">
        <v>27</v>
      </c>
      <c r="C32" s="1" t="s">
        <v>161</v>
      </c>
      <c r="D32" s="9" t="s">
        <v>212</v>
      </c>
      <c r="E32" s="1" t="s">
        <v>127</v>
      </c>
      <c r="F32" s="1" t="s">
        <v>105</v>
      </c>
      <c r="G32" t="s">
        <v>32</v>
      </c>
    </row>
    <row r="33" spans="2:7" x14ac:dyDescent="0.2">
      <c r="B33" s="4">
        <v>28</v>
      </c>
      <c r="C33" s="1" t="s">
        <v>162</v>
      </c>
      <c r="D33" s="9" t="s">
        <v>213</v>
      </c>
      <c r="E33" s="1" t="s">
        <v>128</v>
      </c>
      <c r="F33" s="1" t="s">
        <v>106</v>
      </c>
      <c r="G33" t="s">
        <v>33</v>
      </c>
    </row>
    <row r="34" spans="2:7" x14ac:dyDescent="0.2">
      <c r="B34" s="4">
        <v>29</v>
      </c>
      <c r="C34" s="1" t="s">
        <v>163</v>
      </c>
      <c r="D34" s="9" t="s">
        <v>214</v>
      </c>
      <c r="E34" s="1" t="s">
        <v>129</v>
      </c>
      <c r="F34" s="1" t="s">
        <v>107</v>
      </c>
      <c r="G34" t="s">
        <v>34</v>
      </c>
    </row>
    <row r="35" spans="2:7" x14ac:dyDescent="0.2">
      <c r="B35" s="5">
        <v>30</v>
      </c>
      <c r="C35" s="6" t="s">
        <v>65</v>
      </c>
      <c r="D35" s="10"/>
      <c r="E35" s="6" t="s">
        <v>118</v>
      </c>
      <c r="F35" s="6" t="s">
        <v>108</v>
      </c>
      <c r="G35" t="s">
        <v>35</v>
      </c>
    </row>
    <row r="36" spans="2:7" x14ac:dyDescent="0.2">
      <c r="B36" s="5">
        <v>31</v>
      </c>
      <c r="C36" s="6" t="s">
        <v>66</v>
      </c>
      <c r="D36" s="10"/>
      <c r="E36" s="6" t="s">
        <v>118</v>
      </c>
      <c r="F36" s="6" t="s">
        <v>108</v>
      </c>
      <c r="G36" t="s">
        <v>36</v>
      </c>
    </row>
    <row r="37" spans="2:7" x14ac:dyDescent="0.2">
      <c r="B37" s="5">
        <v>32</v>
      </c>
      <c r="C37" s="6" t="s">
        <v>67</v>
      </c>
      <c r="D37" s="10"/>
      <c r="E37" s="6" t="s">
        <v>118</v>
      </c>
      <c r="F37" s="6" t="s">
        <v>108</v>
      </c>
      <c r="G37" t="s">
        <v>37</v>
      </c>
    </row>
    <row r="38" spans="2:7" x14ac:dyDescent="0.2">
      <c r="B38" s="5">
        <v>33</v>
      </c>
      <c r="C38" s="6" t="s">
        <v>68</v>
      </c>
      <c r="D38" s="10"/>
      <c r="E38" s="6" t="s">
        <v>118</v>
      </c>
      <c r="F38" s="6" t="s">
        <v>108</v>
      </c>
      <c r="G38" t="s">
        <v>38</v>
      </c>
    </row>
    <row r="39" spans="2:7" x14ac:dyDescent="0.2">
      <c r="B39" s="5">
        <v>34</v>
      </c>
      <c r="C39" s="6" t="s">
        <v>69</v>
      </c>
      <c r="D39" s="10"/>
      <c r="E39" s="6" t="s">
        <v>118</v>
      </c>
      <c r="F39" s="6" t="s">
        <v>108</v>
      </c>
      <c r="G39" t="s">
        <v>39</v>
      </c>
    </row>
    <row r="40" spans="2:7" x14ac:dyDescent="0.2">
      <c r="B40" s="5">
        <v>35</v>
      </c>
      <c r="C40" s="6" t="s">
        <v>70</v>
      </c>
      <c r="D40" s="10"/>
      <c r="E40" s="6" t="s">
        <v>118</v>
      </c>
      <c r="F40" s="6" t="s">
        <v>108</v>
      </c>
      <c r="G40" t="s">
        <v>40</v>
      </c>
    </row>
    <row r="41" spans="2:7" x14ac:dyDescent="0.2">
      <c r="B41" s="4">
        <v>36</v>
      </c>
      <c r="C41" s="1" t="s">
        <v>183</v>
      </c>
      <c r="D41" s="9"/>
      <c r="E41" s="1" t="s">
        <v>78</v>
      </c>
      <c r="F41" s="1" t="s">
        <v>87</v>
      </c>
      <c r="G41" t="s">
        <v>41</v>
      </c>
    </row>
    <row r="42" spans="2:7" x14ac:dyDescent="0.2">
      <c r="B42" s="4">
        <v>37</v>
      </c>
      <c r="C42" s="1" t="s">
        <v>50</v>
      </c>
      <c r="D42" s="9"/>
      <c r="E42" s="1" t="s">
        <v>79</v>
      </c>
      <c r="F42" s="1" t="s">
        <v>88</v>
      </c>
      <c r="G42" t="s">
        <v>42</v>
      </c>
    </row>
    <row r="46" spans="2:7" ht="16" x14ac:dyDescent="0.2">
      <c r="B46" s="7" t="s">
        <v>185</v>
      </c>
    </row>
    <row r="47" spans="2:7" ht="16" x14ac:dyDescent="0.2">
      <c r="B47" s="7">
        <v>26</v>
      </c>
    </row>
  </sheetData>
  <mergeCells count="1">
    <mergeCell ref="B3:I3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47"/>
  <sheetViews>
    <sheetView zoomScale="85" zoomScaleNormal="85" workbookViewId="0">
      <selection activeCell="D16" sqref="D16"/>
    </sheetView>
  </sheetViews>
  <sheetFormatPr baseColWidth="10" defaultRowHeight="15" x14ac:dyDescent="0.2"/>
  <cols>
    <col min="6" max="6" width="29" customWidth="1"/>
  </cols>
  <sheetData>
    <row r="3" spans="2:9" ht="25" thickBot="1" x14ac:dyDescent="0.35">
      <c r="B3" s="25" t="s">
        <v>1</v>
      </c>
      <c r="C3" s="25"/>
      <c r="D3" s="25"/>
      <c r="E3" s="25"/>
      <c r="F3" s="25"/>
      <c r="G3" s="25"/>
      <c r="H3" s="25"/>
      <c r="I3" s="25"/>
    </row>
    <row r="4" spans="2:9" ht="16" thickTop="1" x14ac:dyDescent="0.2"/>
    <row r="5" spans="2:9" ht="24" customHeight="1" thickBot="1" x14ac:dyDescent="0.25">
      <c r="B5" s="2" t="s">
        <v>2</v>
      </c>
      <c r="C5" s="2" t="s">
        <v>3</v>
      </c>
      <c r="D5" s="8" t="s">
        <v>187</v>
      </c>
      <c r="E5" s="2" t="s">
        <v>4</v>
      </c>
      <c r="F5" s="2" t="s">
        <v>5</v>
      </c>
      <c r="G5" s="2"/>
      <c r="H5" s="2"/>
      <c r="I5" s="2"/>
    </row>
    <row r="6" spans="2:9" x14ac:dyDescent="0.2">
      <c r="B6" s="1">
        <v>1</v>
      </c>
      <c r="C6" s="1" t="s">
        <v>43</v>
      </c>
      <c r="D6" s="9" t="s">
        <v>188</v>
      </c>
      <c r="E6" s="1" t="s">
        <v>164</v>
      </c>
      <c r="F6" s="1" t="s">
        <v>169</v>
      </c>
      <c r="G6" t="s">
        <v>130</v>
      </c>
    </row>
    <row r="7" spans="2:9" x14ac:dyDescent="0.2">
      <c r="B7" s="1">
        <v>2</v>
      </c>
      <c r="C7" s="1" t="s">
        <v>44</v>
      </c>
      <c r="D7" s="9" t="s">
        <v>189</v>
      </c>
      <c r="E7" s="1" t="s">
        <v>165</v>
      </c>
      <c r="F7" s="1" t="s">
        <v>170</v>
      </c>
      <c r="G7" t="s">
        <v>131</v>
      </c>
    </row>
    <row r="8" spans="2:9" x14ac:dyDescent="0.2">
      <c r="B8" s="1">
        <v>3</v>
      </c>
      <c r="C8" s="1" t="s">
        <v>45</v>
      </c>
      <c r="D8" s="9" t="s">
        <v>190</v>
      </c>
      <c r="E8" s="1" t="s">
        <v>166</v>
      </c>
      <c r="F8" s="1" t="s">
        <v>171</v>
      </c>
      <c r="G8" t="s">
        <v>153</v>
      </c>
    </row>
    <row r="9" spans="2:9" x14ac:dyDescent="0.2">
      <c r="B9" s="1">
        <v>4</v>
      </c>
      <c r="C9" s="1" t="s">
        <v>46</v>
      </c>
      <c r="D9" s="9" t="s">
        <v>191</v>
      </c>
      <c r="E9" s="1" t="s">
        <v>167</v>
      </c>
      <c r="F9" s="1" t="s">
        <v>172</v>
      </c>
      <c r="G9" t="s">
        <v>132</v>
      </c>
    </row>
    <row r="10" spans="2:9" x14ac:dyDescent="0.2">
      <c r="B10" s="1">
        <v>5</v>
      </c>
      <c r="C10" s="1" t="s">
        <v>47</v>
      </c>
      <c r="D10" s="9" t="s">
        <v>192</v>
      </c>
      <c r="E10" s="1" t="s">
        <v>167</v>
      </c>
      <c r="F10" s="1" t="s">
        <v>173</v>
      </c>
      <c r="G10" t="s">
        <v>154</v>
      </c>
    </row>
    <row r="11" spans="2:9" x14ac:dyDescent="0.2">
      <c r="B11" s="1">
        <v>6</v>
      </c>
      <c r="C11" s="1" t="s">
        <v>48</v>
      </c>
      <c r="D11" s="9" t="s">
        <v>193</v>
      </c>
      <c r="E11" s="1" t="s">
        <v>167</v>
      </c>
      <c r="F11" s="1" t="s">
        <v>174</v>
      </c>
      <c r="G11" t="s">
        <v>133</v>
      </c>
    </row>
    <row r="12" spans="2:9" x14ac:dyDescent="0.2">
      <c r="B12" s="1">
        <v>7</v>
      </c>
      <c r="C12" s="1" t="s">
        <v>52</v>
      </c>
      <c r="D12" s="9" t="s">
        <v>195</v>
      </c>
      <c r="E12" s="1" t="s">
        <v>167</v>
      </c>
      <c r="F12" s="1" t="s">
        <v>175</v>
      </c>
      <c r="G12" t="s">
        <v>134</v>
      </c>
    </row>
    <row r="13" spans="2:9" x14ac:dyDescent="0.2">
      <c r="B13" s="1">
        <v>8</v>
      </c>
      <c r="C13" s="1" t="s">
        <v>53</v>
      </c>
      <c r="D13" s="9" t="s">
        <v>194</v>
      </c>
      <c r="E13" s="1" t="s">
        <v>168</v>
      </c>
      <c r="F13" s="1" t="s">
        <v>179</v>
      </c>
      <c r="G13" t="s">
        <v>155</v>
      </c>
    </row>
    <row r="14" spans="2:9" x14ac:dyDescent="0.2">
      <c r="B14" s="1">
        <v>9</v>
      </c>
      <c r="C14" s="1" t="s">
        <v>54</v>
      </c>
      <c r="D14" s="9" t="s">
        <v>196</v>
      </c>
      <c r="E14" s="1" t="s">
        <v>168</v>
      </c>
      <c r="F14" s="1" t="s">
        <v>176</v>
      </c>
      <c r="G14" t="s">
        <v>135</v>
      </c>
    </row>
    <row r="15" spans="2:9" x14ac:dyDescent="0.2">
      <c r="B15" s="1">
        <v>10</v>
      </c>
      <c r="C15" s="1" t="s">
        <v>55</v>
      </c>
      <c r="D15" s="9" t="s">
        <v>197</v>
      </c>
      <c r="E15" s="1" t="s">
        <v>168</v>
      </c>
      <c r="F15" s="1" t="s">
        <v>177</v>
      </c>
      <c r="G15" t="s">
        <v>136</v>
      </c>
    </row>
    <row r="16" spans="2:9" x14ac:dyDescent="0.2">
      <c r="B16" s="1">
        <v>11</v>
      </c>
      <c r="C16" s="1" t="s">
        <v>156</v>
      </c>
      <c r="D16" s="9" t="s">
        <v>198</v>
      </c>
      <c r="E16" s="1" t="s">
        <v>168</v>
      </c>
      <c r="F16" s="1" t="s">
        <v>178</v>
      </c>
      <c r="G16" t="s">
        <v>137</v>
      </c>
    </row>
    <row r="17" spans="2:7" x14ac:dyDescent="0.2">
      <c r="B17" s="6">
        <v>12</v>
      </c>
      <c r="C17" s="6" t="s">
        <v>157</v>
      </c>
      <c r="D17" s="10"/>
      <c r="E17" s="6" t="s">
        <v>118</v>
      </c>
      <c r="F17" s="6" t="s">
        <v>108</v>
      </c>
      <c r="G17" t="s">
        <v>138</v>
      </c>
    </row>
    <row r="18" spans="2:7" x14ac:dyDescent="0.2">
      <c r="B18" s="6">
        <v>13</v>
      </c>
      <c r="C18" s="6" t="s">
        <v>158</v>
      </c>
      <c r="D18" s="10"/>
      <c r="E18" s="6" t="s">
        <v>118</v>
      </c>
      <c r="F18" s="6" t="s">
        <v>108</v>
      </c>
      <c r="G18" t="s">
        <v>139</v>
      </c>
    </row>
    <row r="19" spans="2:7" x14ac:dyDescent="0.2">
      <c r="B19" s="6">
        <v>14</v>
      </c>
      <c r="C19" s="6" t="s">
        <v>159</v>
      </c>
      <c r="D19" s="10"/>
      <c r="E19" s="6" t="s">
        <v>118</v>
      </c>
      <c r="F19" s="6" t="s">
        <v>108</v>
      </c>
      <c r="G19" t="s">
        <v>140</v>
      </c>
    </row>
    <row r="20" spans="2:7" x14ac:dyDescent="0.2">
      <c r="B20" s="6">
        <v>15</v>
      </c>
      <c r="C20" s="6" t="s">
        <v>56</v>
      </c>
      <c r="D20" s="10"/>
      <c r="E20" s="6" t="s">
        <v>118</v>
      </c>
      <c r="F20" s="6" t="s">
        <v>108</v>
      </c>
      <c r="G20" t="s">
        <v>141</v>
      </c>
    </row>
    <row r="21" spans="2:7" x14ac:dyDescent="0.2">
      <c r="B21" s="6">
        <v>16</v>
      </c>
      <c r="C21" s="6" t="s">
        <v>57</v>
      </c>
      <c r="D21" s="10"/>
      <c r="E21" s="6" t="s">
        <v>118</v>
      </c>
      <c r="F21" s="6" t="s">
        <v>108</v>
      </c>
      <c r="G21" t="s">
        <v>142</v>
      </c>
    </row>
    <row r="22" spans="2:7" x14ac:dyDescent="0.2">
      <c r="B22" s="6">
        <v>17</v>
      </c>
      <c r="C22" s="6" t="s">
        <v>58</v>
      </c>
      <c r="D22" s="10"/>
      <c r="E22" s="6" t="s">
        <v>118</v>
      </c>
      <c r="F22" s="6" t="s">
        <v>108</v>
      </c>
      <c r="G22" t="s">
        <v>22</v>
      </c>
    </row>
    <row r="23" spans="2:7" x14ac:dyDescent="0.2">
      <c r="B23" s="1">
        <v>18</v>
      </c>
      <c r="C23" s="1"/>
      <c r="D23" s="9"/>
      <c r="E23" s="1"/>
      <c r="F23" s="1" t="s">
        <v>86</v>
      </c>
      <c r="G23" t="s">
        <v>23</v>
      </c>
    </row>
    <row r="24" spans="2:7" x14ac:dyDescent="0.2">
      <c r="B24" s="1">
        <v>19</v>
      </c>
      <c r="C24" s="1" t="s">
        <v>51</v>
      </c>
      <c r="D24" s="9"/>
      <c r="E24" s="1" t="s">
        <v>119</v>
      </c>
      <c r="F24" s="1" t="s">
        <v>86</v>
      </c>
      <c r="G24" t="s">
        <v>24</v>
      </c>
    </row>
    <row r="25" spans="2:7" x14ac:dyDescent="0.2">
      <c r="B25" s="6">
        <v>20</v>
      </c>
      <c r="C25" s="6" t="s">
        <v>59</v>
      </c>
      <c r="D25" s="10"/>
      <c r="E25" s="6" t="s">
        <v>118</v>
      </c>
      <c r="F25" s="6" t="s">
        <v>108</v>
      </c>
      <c r="G25" t="s">
        <v>143</v>
      </c>
    </row>
    <row r="26" spans="2:7" x14ac:dyDescent="0.2">
      <c r="B26" s="6">
        <v>21</v>
      </c>
      <c r="C26" s="6" t="s">
        <v>60</v>
      </c>
      <c r="D26" s="10"/>
      <c r="E26" s="6" t="s">
        <v>118</v>
      </c>
      <c r="F26" s="6" t="s">
        <v>108</v>
      </c>
      <c r="G26" t="s">
        <v>144</v>
      </c>
    </row>
    <row r="27" spans="2:7" x14ac:dyDescent="0.2">
      <c r="B27" s="6">
        <v>22</v>
      </c>
      <c r="C27" s="6" t="s">
        <v>61</v>
      </c>
      <c r="D27" s="10"/>
      <c r="E27" s="6" t="s">
        <v>118</v>
      </c>
      <c r="F27" s="6" t="s">
        <v>108</v>
      </c>
      <c r="G27" t="s">
        <v>145</v>
      </c>
    </row>
    <row r="28" spans="2:7" x14ac:dyDescent="0.2">
      <c r="B28" s="6">
        <v>23</v>
      </c>
      <c r="C28" s="6" t="s">
        <v>62</v>
      </c>
      <c r="D28" s="10"/>
      <c r="E28" s="6" t="s">
        <v>118</v>
      </c>
      <c r="F28" s="6" t="s">
        <v>108</v>
      </c>
      <c r="G28" t="s">
        <v>146</v>
      </c>
    </row>
    <row r="29" spans="2:7" x14ac:dyDescent="0.2">
      <c r="B29" s="6">
        <v>24</v>
      </c>
      <c r="C29" s="6" t="s">
        <v>63</v>
      </c>
      <c r="D29" s="10"/>
      <c r="E29" s="6" t="s">
        <v>118</v>
      </c>
      <c r="F29" s="6" t="s">
        <v>108</v>
      </c>
      <c r="G29" t="s">
        <v>147</v>
      </c>
    </row>
    <row r="30" spans="2:7" x14ac:dyDescent="0.2">
      <c r="B30" s="6">
        <v>25</v>
      </c>
      <c r="C30" s="6" t="s">
        <v>64</v>
      </c>
      <c r="D30" s="10"/>
      <c r="E30" s="6" t="s">
        <v>118</v>
      </c>
      <c r="F30" s="6" t="s">
        <v>108</v>
      </c>
      <c r="G30" t="s">
        <v>148</v>
      </c>
    </row>
    <row r="31" spans="2:7" x14ac:dyDescent="0.2">
      <c r="B31" s="6">
        <v>26</v>
      </c>
      <c r="C31" s="6" t="s">
        <v>160</v>
      </c>
      <c r="D31" s="10"/>
      <c r="E31" s="6" t="s">
        <v>118</v>
      </c>
      <c r="F31" s="6" t="s">
        <v>108</v>
      </c>
      <c r="G31" t="s">
        <v>149</v>
      </c>
    </row>
    <row r="32" spans="2:7" x14ac:dyDescent="0.2">
      <c r="B32" s="6">
        <v>27</v>
      </c>
      <c r="C32" s="6" t="s">
        <v>161</v>
      </c>
      <c r="D32" s="10"/>
      <c r="E32" s="6" t="s">
        <v>118</v>
      </c>
      <c r="F32" s="6" t="s">
        <v>108</v>
      </c>
      <c r="G32" t="s">
        <v>150</v>
      </c>
    </row>
    <row r="33" spans="2:7" x14ac:dyDescent="0.2">
      <c r="B33" s="6">
        <v>28</v>
      </c>
      <c r="C33" s="6" t="s">
        <v>162</v>
      </c>
      <c r="D33" s="10"/>
      <c r="E33" s="6" t="s">
        <v>118</v>
      </c>
      <c r="F33" s="6" t="s">
        <v>108</v>
      </c>
      <c r="G33" t="s">
        <v>151</v>
      </c>
    </row>
    <row r="34" spans="2:7" x14ac:dyDescent="0.2">
      <c r="B34" s="6">
        <v>29</v>
      </c>
      <c r="C34" s="6" t="s">
        <v>163</v>
      </c>
      <c r="D34" s="10"/>
      <c r="E34" s="6" t="s">
        <v>118</v>
      </c>
      <c r="F34" s="6" t="s">
        <v>108</v>
      </c>
      <c r="G34" t="s">
        <v>152</v>
      </c>
    </row>
    <row r="35" spans="2:7" x14ac:dyDescent="0.2">
      <c r="B35" s="6">
        <v>30</v>
      </c>
      <c r="C35" s="6" t="s">
        <v>65</v>
      </c>
      <c r="D35" s="10"/>
      <c r="E35" s="6" t="s">
        <v>118</v>
      </c>
      <c r="F35" s="6" t="s">
        <v>108</v>
      </c>
      <c r="G35" t="s">
        <v>35</v>
      </c>
    </row>
    <row r="36" spans="2:7" x14ac:dyDescent="0.2">
      <c r="B36" s="6">
        <v>31</v>
      </c>
      <c r="C36" s="6" t="s">
        <v>66</v>
      </c>
      <c r="D36" s="10"/>
      <c r="E36" s="6" t="s">
        <v>118</v>
      </c>
      <c r="F36" s="6" t="s">
        <v>108</v>
      </c>
      <c r="G36" t="s">
        <v>36</v>
      </c>
    </row>
    <row r="37" spans="2:7" x14ac:dyDescent="0.2">
      <c r="B37" s="6">
        <v>32</v>
      </c>
      <c r="C37" s="6" t="s">
        <v>67</v>
      </c>
      <c r="D37" s="10"/>
      <c r="E37" s="6" t="s">
        <v>118</v>
      </c>
      <c r="F37" s="6" t="s">
        <v>108</v>
      </c>
      <c r="G37" t="s">
        <v>37</v>
      </c>
    </row>
    <row r="38" spans="2:7" x14ac:dyDescent="0.2">
      <c r="B38" s="6">
        <v>33</v>
      </c>
      <c r="C38" s="6" t="s">
        <v>68</v>
      </c>
      <c r="D38" s="10"/>
      <c r="E38" s="6" t="s">
        <v>118</v>
      </c>
      <c r="F38" s="6" t="s">
        <v>108</v>
      </c>
      <c r="G38" t="s">
        <v>38</v>
      </c>
    </row>
    <row r="39" spans="2:7" x14ac:dyDescent="0.2">
      <c r="B39" s="6">
        <v>34</v>
      </c>
      <c r="C39" s="6" t="s">
        <v>69</v>
      </c>
      <c r="D39" s="10"/>
      <c r="E39" s="6" t="s">
        <v>118</v>
      </c>
      <c r="F39" s="6" t="s">
        <v>108</v>
      </c>
      <c r="G39" t="s">
        <v>39</v>
      </c>
    </row>
    <row r="40" spans="2:7" x14ac:dyDescent="0.2">
      <c r="B40" s="6">
        <v>35</v>
      </c>
      <c r="C40" s="6" t="s">
        <v>70</v>
      </c>
      <c r="D40" s="10"/>
      <c r="E40" s="6" t="s">
        <v>118</v>
      </c>
      <c r="F40" s="6" t="s">
        <v>108</v>
      </c>
      <c r="G40" t="s">
        <v>40</v>
      </c>
    </row>
    <row r="41" spans="2:7" x14ac:dyDescent="0.2">
      <c r="B41" s="1">
        <v>36</v>
      </c>
      <c r="C41" s="1" t="s">
        <v>49</v>
      </c>
      <c r="D41" s="9"/>
      <c r="E41" s="1" t="s">
        <v>78</v>
      </c>
      <c r="F41" s="1" t="s">
        <v>180</v>
      </c>
      <c r="G41" t="s">
        <v>41</v>
      </c>
    </row>
    <row r="42" spans="2:7" x14ac:dyDescent="0.2">
      <c r="B42" s="1">
        <v>37</v>
      </c>
      <c r="C42" s="1" t="s">
        <v>50</v>
      </c>
      <c r="D42" s="9"/>
      <c r="E42" s="1" t="s">
        <v>79</v>
      </c>
      <c r="F42" s="1" t="s">
        <v>88</v>
      </c>
      <c r="G42" t="s">
        <v>42</v>
      </c>
    </row>
    <row r="46" spans="2:7" ht="16" x14ac:dyDescent="0.2">
      <c r="B46" s="7" t="s">
        <v>184</v>
      </c>
    </row>
    <row r="47" spans="2:7" ht="16" x14ac:dyDescent="0.2">
      <c r="B47" s="7">
        <v>11</v>
      </c>
    </row>
  </sheetData>
  <mergeCells count="1">
    <mergeCell ref="B3:I3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Mapping raspi-02 Interface</vt:lpstr>
      <vt:lpstr>Sub37 Pins X3-X5</vt:lpstr>
      <vt:lpstr>Stecker X1</vt:lpstr>
      <vt:lpstr>Stecker X2</vt:lpstr>
    </vt:vector>
  </TitlesOfParts>
  <Company>Pädagogische Hochschule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Meier</dc:creator>
  <cp:lastModifiedBy>Jacob Ruhnau</cp:lastModifiedBy>
  <dcterms:created xsi:type="dcterms:W3CDTF">2021-04-20T08:08:39Z</dcterms:created>
  <dcterms:modified xsi:type="dcterms:W3CDTF">2025-04-06T17:28:50Z</dcterms:modified>
</cp:coreProperties>
</file>